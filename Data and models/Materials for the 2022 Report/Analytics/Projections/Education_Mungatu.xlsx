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Brazzaville\HRH 24\Analytics\Projections\"/>
    </mc:Choice>
  </mc:AlternateContent>
  <xr:revisionPtr revIDLastSave="0" documentId="13_ncr:1_{4B045177-6E30-48D7-91E1-2256552929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ntries" sheetId="3" r:id="rId1"/>
    <sheet name="Sheet5" sheetId="5" state="hidden" r:id="rId2"/>
    <sheet name="Step1" sheetId="1" state="hidden" r:id="rId3"/>
    <sheet name="Pop" sheetId="4" state="hidden" r:id="rId4"/>
  </sheets>
  <definedNames>
    <definedName name="_xlnm._FilterDatabase" localSheetId="0" hidden="1">Countries!$A$1:$K$1058</definedName>
    <definedName name="_xlnm._FilterDatabase" localSheetId="2" hidden="1">Step1!$A$1:$AW$243</definedName>
  </definedNames>
  <calcPr calcId="191029"/>
  <pivotCaches>
    <pivotCache cacheId="1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F3" i="4"/>
  <c r="E3" i="4"/>
  <c r="K991" i="3"/>
  <c r="K989" i="3"/>
  <c r="K988" i="3"/>
  <c r="E988" i="3"/>
  <c r="D988" i="3"/>
  <c r="K986" i="3"/>
  <c r="E986" i="3"/>
  <c r="D986" i="3"/>
  <c r="K985" i="3"/>
  <c r="H984" i="3"/>
  <c r="K980" i="3"/>
  <c r="K979" i="3"/>
  <c r="K978" i="3"/>
  <c r="E978" i="3"/>
  <c r="D978" i="3"/>
  <c r="K976" i="3"/>
  <c r="E976" i="3"/>
  <c r="D976" i="3"/>
  <c r="H973" i="3"/>
  <c r="E973" i="3"/>
  <c r="D973" i="3"/>
  <c r="D936" i="3"/>
  <c r="K808" i="3"/>
  <c r="E808" i="3"/>
  <c r="K804" i="3"/>
  <c r="E804" i="3"/>
  <c r="C764" i="3"/>
  <c r="C760" i="3"/>
  <c r="I716" i="3"/>
  <c r="C716" i="3"/>
  <c r="J695" i="3"/>
  <c r="K614" i="3"/>
  <c r="E544" i="3"/>
  <c r="D544" i="3"/>
  <c r="E496" i="3"/>
  <c r="D496" i="3"/>
  <c r="E346" i="3"/>
  <c r="D346" i="3"/>
  <c r="K342" i="3"/>
  <c r="E342" i="3"/>
  <c r="D34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bediakonk</author>
  </authors>
  <commentList>
    <comment ref="K333" authorId="0" shapeId="0" xr:uid="{00000000-0006-0000-0000-000001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Audiometry</t>
        </r>
      </text>
    </comment>
    <comment ref="D340" authorId="0" shapeId="0" xr:uid="{00000000-0006-0000-0000-000002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Medical Laboratory</t>
        </r>
      </text>
    </comment>
    <comment ref="E342" authorId="0" shapeId="0" xr:uid="{00000000-0006-0000-0000-000003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General Practitioners (Non-Specialist) + Medical Specialist
</t>
        </r>
      </text>
    </comment>
    <comment ref="D343" authorId="0" shapeId="0" xr:uid="{00000000-0006-0000-0000-000004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Radiographer</t>
        </r>
      </text>
    </comment>
    <comment ref="D496" authorId="0" shapeId="0" xr:uid="{00000000-0006-0000-0000-000005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Medicine &amp; Surgery + Clinical Medicine and Surgery
</t>
        </r>
      </text>
    </comment>
    <comment ref="E535" authorId="0" shapeId="0" xr:uid="{00000000-0006-0000-0000-000006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These figures are for 2019</t>
        </r>
      </text>
    </comment>
    <comment ref="D544" authorId="0" shapeId="0" xr:uid="{00000000-0006-0000-0000-000007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Nursing Assistant + General Nursing + Ophthalmic Nursing + Nurse Clinician + Anaesthetic Nursing
</t>
        </r>
      </text>
    </comment>
    <comment ref="H604" authorId="0" shapeId="0" xr:uid="{00000000-0006-0000-0000-000008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Análises Clínicas e Laboratoriais + Epidemiologia de Campo e Laboratorial (Mestrado) + Técnicos de Laboratório + Tecnologia Biomedica e Laboratiorial</t>
        </r>
      </text>
    </comment>
    <comment ref="H606" authorId="0" shapeId="0" xr:uid="{00000000-0006-0000-0000-000009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 Licenciatura em Medicina (120) + Ano Propedêutico do Curso de Medicina Geral (ND) + Medicina Tropical e Saúde Internacional (ND)</t>
        </r>
      </text>
    </comment>
    <comment ref="K606" authorId="0" shapeId="0" xr:uid="{00000000-0006-0000-0000-00000A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 Licenciatura em Medicina (120° + Ano Propedêutico do Curso de Medicina Geral (685) + Medicina Tropical e Saúde Internacional (14)</t>
        </r>
      </text>
    </comment>
    <comment ref="H611" authorId="0" shapeId="0" xr:uid="{00000000-0006-0000-0000-00000B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Ciências de Nutrição + Nutricao + Técnicos de Nutrição </t>
        </r>
      </text>
    </comment>
    <comment ref="H614" authorId="0" shapeId="0" xr:uid="{00000000-0006-0000-0000-00000C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Farmácia e Controle de Qualidade de Medicamentos (ND) + Técnicos de Farmácia (301)
</t>
        </r>
      </text>
    </comment>
    <comment ref="K614" authorId="0" shapeId="0" xr:uid="{00000000-0006-0000-0000-00000D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Farmácia e Controle de Qualidade de Medicamentos (72) + Técnicos de Farmácia (40)</t>
        </r>
      </text>
    </comment>
    <comment ref="J690" authorId="0" shapeId="0" xr:uid="{00000000-0006-0000-0000-00000E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This is note the training capacity but we’ve used the number of student as a proxy.</t>
        </r>
      </text>
    </comment>
    <comment ref="J695" authorId="0" shapeId="0" xr:uid="{00000000-0006-0000-0000-00000F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Radiography (Diagnostic) + Applied Radiation Science &amp; Technologye</t>
        </r>
      </text>
    </comment>
    <comment ref="C716" authorId="0" shapeId="0" xr:uid="{00000000-0006-0000-0000-000010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Generalist+Specialist in 2014
</t>
        </r>
      </text>
    </comment>
    <comment ref="F716" authorId="0" shapeId="0" xr:uid="{00000000-0006-0000-0000-000011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First year for medecine</t>
        </r>
      </text>
    </comment>
    <comment ref="I716" authorId="0" shapeId="0" xr:uid="{00000000-0006-0000-0000-000012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First year for medecine
</t>
        </r>
      </text>
    </comment>
    <comment ref="C760" authorId="0" shapeId="0" xr:uid="{00000000-0006-0000-0000-000013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Master in Internal medicine + Ophthalmology (1) + Advance Diploma (7) + Masters in Anaesthisia (3)</t>
        </r>
      </text>
    </comment>
    <comment ref="K804" authorId="0" shapeId="0" xr:uid="{00000000-0006-0000-0000-000014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</t>
        </r>
        <r>
          <rPr>
            <b/>
            <u/>
            <sz val="9"/>
            <rFont val="Times New Roman"/>
            <family val="1"/>
          </rPr>
          <t>Data source: HLMA, 2019</t>
        </r>
        <r>
          <rPr>
            <sz val="9"/>
            <rFont val="Times New Roman"/>
            <family val="1"/>
          </rPr>
          <t xml:space="preserve">
General medical practitioners (111) + Specialist medical practitioners (106)
</t>
        </r>
      </text>
    </comment>
    <comment ref="E808" authorId="0" shapeId="0" xr:uid="{00000000-0006-0000-0000-000015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Nursing professionals (275) + Nursing associate professionals (961) + Specialist Nurses (1)
</t>
        </r>
      </text>
    </comment>
    <comment ref="K808" authorId="0" shapeId="0" xr:uid="{00000000-0006-0000-0000-000016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Nursing professionals (557) + Nursing associate professionals (1194) + Specialist Nurses (4)
</t>
        </r>
      </text>
    </comment>
    <comment ref="G936" authorId="0" shapeId="0" xr:uid="{00000000-0006-0000-0000-000017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Source: HLMA, 2015
(All medical specialists)</t>
        </r>
      </text>
    </comment>
    <comment ref="G937" authorId="0" shapeId="0" xr:uid="{00000000-0006-0000-0000-000018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Applications varies between 15 and 20</t>
        </r>
      </text>
    </comment>
    <comment ref="D973" authorId="0" shapeId="0" xr:uid="{00000000-0006-0000-0000-000019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Diploma in Public Health Dentistry (71) + Diploma in Dental Technology (3)
</t>
        </r>
      </text>
    </comment>
    <comment ref="E973" authorId="0" shapeId="0" xr:uid="{00000000-0006-0000-0000-00001A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Diploma in Public Health Dentistry (138) + Diploma in Dental Technology (13)
</t>
        </r>
      </text>
    </comment>
    <comment ref="H973" authorId="0" shapeId="0" xr:uid="{00000000-0006-0000-0000-00001B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Dental Technology (1798) + Public Health Dentistry (1780)
</t>
        </r>
      </text>
    </comment>
    <comment ref="D976" authorId="0" shapeId="0" xr:uid="{00000000-0006-0000-0000-00001C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Certificate in Environmental Health Sciences (235) + Diploma in Environmental Health Sciences (130)
</t>
        </r>
      </text>
    </comment>
    <comment ref="K976" authorId="0" shapeId="0" xr:uid="{00000000-0006-0000-0000-00001D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Certificate in Environmental Health Sciences (290) + Diploma in Environmental Health Sciences (270)
</t>
        </r>
      </text>
    </comment>
    <comment ref="D978" authorId="0" shapeId="0" xr:uid="{00000000-0006-0000-0000-00001E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Certificate in Medical Laboratory Techniques (1450) + Diploma in Medical Laboratory Technology (344)
</t>
        </r>
      </text>
    </comment>
    <comment ref="K978" authorId="0" shapeId="0" xr:uid="{00000000-0006-0000-0000-00001F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Bachelor of Medical Laboratory Sciences-Direct (75) + Bachelor of Medical Laboratory Sciences-Completion (65)</t>
        </r>
      </text>
    </comment>
    <comment ref="K979" authorId="0" shapeId="0" xr:uid="{00000000-0006-0000-0000-000020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Certificate in Medical Laboratory Techniques (2290) + Diploma in Medical Laboratory Technology (1130)</t>
        </r>
      </text>
    </comment>
    <comment ref="K980" authorId="0" shapeId="0" xr:uid="{00000000-0006-0000-0000-000021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Diploma in Clinical Medicine and Community Health (1990) + Diploma in Emergency Medicine for Emergency care practitioners (7)
</t>
        </r>
      </text>
    </comment>
    <comment ref="H984" authorId="0" shapeId="0" xr:uid="{00000000-0006-0000-0000-000022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Registered Nursing (4413) + Psychiatric Nursing (1179) + Comprehensive Nursing (0)
</t>
        </r>
      </text>
    </comment>
    <comment ref="K984" authorId="0" shapeId="0" xr:uid="{00000000-0006-0000-0000-000023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</t>
        </r>
        <r>
          <rPr>
            <b/>
            <u/>
            <sz val="9"/>
            <rFont val="Times New Roman"/>
            <family val="1"/>
          </rPr>
          <t>All the Nurses categories:</t>
        </r>
        <r>
          <rPr>
            <sz val="9"/>
            <rFont val="Times New Roman"/>
            <family val="1"/>
          </rPr>
          <t xml:space="preserve">
Certificate in Nursing
Diploma in Nursing -Extension
Diploma in Nursing
Bachelor of Nursing Science (BNSc)
Certificate in Comprehensive Nursing
Diploma in Comprehensive Nursing
Certificate in Mental Health Nursing
Diploma in Comprehensive Nursing -Extension
Diploma in Mental Health Nursing
Bachelor of Nursing Science- Completion (BNSc)
Diploma in Mental Health Nursing -Extension
Bachelor of Nursing Science-Extension
Diploma in Public Health Nursing
Advanced Diploma in Palliative Care Nursing
Diploma in Peadiatrics Nursing -Extension
</t>
        </r>
      </text>
    </comment>
    <comment ref="K985" authorId="0" shapeId="0" xr:uid="{00000000-0006-0000-0000-000024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Diploma in Clinical and Community Nutrition (80) + Certificate in Clinical and Community Nutrition (40) + Diploma in Clinical Nutrition (40)
</t>
        </r>
      </text>
    </comment>
    <comment ref="D986" authorId="0" shapeId="0" xr:uid="{00000000-0006-0000-0000-000025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Diploma in Ophthalmic Clinical Medicine (2) + Diploma in Ophthalmic Clinical Medicine (15)
</t>
        </r>
      </text>
    </comment>
    <comment ref="K986" authorId="0" shapeId="0" xr:uid="{00000000-0006-0000-0000-000026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Diploma in Clinical Ophthalmology (40) + Higher Diploma in Clinical Ophthalmology (40)
</t>
        </r>
      </text>
    </comment>
    <comment ref="D988" authorId="0" shapeId="0" xr:uid="{00000000-0006-0000-0000-000027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Certificate in Pharmacy (0) + Diploma in Pharmacy (78)</t>
        </r>
      </text>
    </comment>
    <comment ref="K988" authorId="0" shapeId="0" xr:uid="{00000000-0006-0000-0000-000028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Certificate in Pharmacy (1100) + Diploma in Pharmacy (760)
</t>
        </r>
      </text>
    </comment>
    <comment ref="K989" authorId="0" shapeId="0" xr:uid="{00000000-0006-0000-0000-000029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Bachelor of Pharmacy (66) + Bachelor of Science in Pharmaceutical Sciences (54)
</t>
        </r>
      </text>
    </comment>
    <comment ref="K1049" authorId="0" shapeId="0" xr:uid="{00000000-0006-0000-0000-00002A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Only Midwifery programmes not mixe with Nursing programmes</t>
        </r>
      </text>
    </comment>
    <comment ref="K1050" authorId="0" shapeId="0" xr:uid="{00000000-0006-0000-0000-00002B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Programmes mixing up Nursering and Midwifery</t>
        </r>
      </text>
    </comment>
    <comment ref="K1051" authorId="0" shapeId="0" xr:uid="{00000000-0006-0000-0000-00002C00000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Nutritionist (60) + Dietecian (30)</t>
        </r>
      </text>
    </comment>
  </commentList>
</comments>
</file>

<file path=xl/sharedStrings.xml><?xml version="1.0" encoding="utf-8"?>
<sst xmlns="http://schemas.openxmlformats.org/spreadsheetml/2006/main" count="2443" uniqueCount="109">
  <si>
    <t>Country</t>
  </si>
  <si>
    <t>Cadre</t>
  </si>
  <si>
    <t>Graduates 2013  (or most recent before 2013)</t>
  </si>
  <si>
    <t>Graduates 2018  (or most recent before 2018)</t>
  </si>
  <si>
    <t>Graduates 2022  (or most recent before 2022)</t>
  </si>
  <si>
    <t>Applicants 2013  (or most recent before 2013)</t>
  </si>
  <si>
    <t>Applicants 2018  (or most recent before 2018)</t>
  </si>
  <si>
    <t>Applicants 2022  (or most recent before 2022)</t>
  </si>
  <si>
    <t>Training capacity 2013  (or most recent before 2013)</t>
  </si>
  <si>
    <t>Training capacity 2018  (or most recent before 2018)</t>
  </si>
  <si>
    <t>Training capacity 2022  (or most recent before 2022)</t>
  </si>
  <si>
    <t>AGO</t>
  </si>
  <si>
    <t xml:space="preserve">Audiologists and Speech Therapists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</si>
  <si>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</si>
  <si>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</si>
  <si>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</si>
  <si>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Dentists </t>
  </si>
  <si>
    <t xml:space="preserve">Environmental and Occupational Health and Hygiene Professionals </t>
  </si>
  <si>
    <t xml:space="preserve">Environmental and Occupational Health Inspectors and Associates </t>
  </si>
  <si>
    <t xml:space="preserve">Medical and Pathology Laboratory scientists </t>
  </si>
  <si>
    <t xml:space="preserve">Medical and Pathology Laboratory Technicians </t>
  </si>
  <si>
    <t>Medical Doctors</t>
  </si>
  <si>
    <t xml:space="preserve">Medical Imaging and Therapeutic Equipment Technicians </t>
  </si>
  <si>
    <t xml:space="preserve">Medical Prosthetic Technicians </t>
  </si>
  <si>
    <t>Midwifery personnel</t>
  </si>
  <si>
    <t>Nursing Personnel</t>
  </si>
  <si>
    <t xml:space="preserve">Nutritionists </t>
  </si>
  <si>
    <t xml:space="preserve">Optometrists and Ophthalmic Opticians </t>
  </si>
  <si>
    <t xml:space="preserve">Paramedical Practitioners </t>
  </si>
  <si>
    <t xml:space="preserve">Pharmaceutical Technicians and Assistants </t>
  </si>
  <si>
    <t xml:space="preserve">Pharmacists </t>
  </si>
  <si>
    <t xml:space="preserve">Physiotherapists </t>
  </si>
  <si>
    <t xml:space="preserve">Psychologists </t>
  </si>
  <si>
    <t xml:space="preserve">Social work and counselling professionals 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</si>
  <si>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</si>
  <si>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</si>
  <si>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</si>
  <si>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</si>
  <si>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</si>
  <si>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</si>
  <si>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</si>
  <si>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</si>
  <si>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</si>
  <si>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</si>
  <si>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</si>
  <si>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</si>
  <si>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</si>
  <si>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EHI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</si>
  <si>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</si>
  <si>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</si>
  <si>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</si>
  <si>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</si>
  <si>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</si>
  <si>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</si>
  <si>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</si>
  <si>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</si>
  <si>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</si>
  <si>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</si>
  <si>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</si>
  <si>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</si>
  <si>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</si>
  <si>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</si>
  <si>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</si>
  <si>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</si>
  <si>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</si>
  <si>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</si>
  <si>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</si>
  <si>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</si>
  <si>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</si>
  <si>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</si>
  <si>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</si>
  <si>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</si>
  <si>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</si>
  <si>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</si>
  <si>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</si>
  <si>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</si>
  <si>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</si>
  <si>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</si>
  <si>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</si>
  <si>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</si>
  <si>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</si>
  <si>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Sum of ZWE</t>
  </si>
  <si>
    <t>Column Labels</t>
  </si>
  <si>
    <t>Row Labels</t>
  </si>
  <si>
    <t>Grand Total</t>
  </si>
  <si>
    <t xml:space="preserve">Sum of Audiologists and Speech Therapists </t>
  </si>
  <si>
    <t xml:space="preserve">Sum of Community Health Workers </t>
  </si>
  <si>
    <t xml:space="preserve">Sum of Dental Assistants and Therapists </t>
  </si>
  <si>
    <t xml:space="preserve">Sum of Dental Prosthetic Technicians </t>
  </si>
  <si>
    <t xml:space="preserve">Sum of Dentists </t>
  </si>
  <si>
    <t xml:space="preserve">Sum of Environmental and Occupational Health and Hygiene Professionals </t>
  </si>
  <si>
    <t xml:space="preserve">Sum of Environmental and Occupational Health Inspectors and Associates </t>
  </si>
  <si>
    <t xml:space="preserve">Sum of Medical and Pathology Laboratory scientists </t>
  </si>
  <si>
    <t xml:space="preserve">Sum of Medical and Pathology Laboratory Technicians </t>
  </si>
  <si>
    <t>Sum of Medical Doctors</t>
  </si>
  <si>
    <t xml:space="preserve">Sum of Medical Imaging and Therapeutic Equipment Technicians </t>
  </si>
  <si>
    <t xml:space="preserve">Sum of Medical Prosthetic Technicians </t>
  </si>
  <si>
    <t>Sum of Midwifery personnel</t>
  </si>
  <si>
    <t>Sum of Nursing Personnel</t>
  </si>
  <si>
    <t xml:space="preserve">Sum of Nutritionists </t>
  </si>
  <si>
    <t xml:space="preserve">Sum of Optometrists and Ophthalmic Opticians </t>
  </si>
  <si>
    <t xml:space="preserve">Sum of Paramedical Practitioners </t>
  </si>
  <si>
    <t xml:space="preserve">Sum of Pharmaceutical Technicians and Assistants </t>
  </si>
  <si>
    <t xml:space="preserve">Sum of Pharmacists </t>
  </si>
  <si>
    <t xml:space="preserve">Sum of Physiotherapists </t>
  </si>
  <si>
    <t xml:space="preserve">Sum of Psychologists </t>
  </si>
  <si>
    <t xml:space="preserve">Sum of Social work and counselling professionals </t>
  </si>
  <si>
    <t>Year</t>
  </si>
  <si>
    <t>Cadres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</si>
</sst>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rgb="FFFF0000"/>
      <name val="Arial Narrow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u/>
      <sz val="9"/>
      <name val="Times New Roman"/>
      <family val="1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1">
    <xf numFmtId="0" fontId="0" fillId="0" borderId="0" xfId="0"/>
    <xf numFmtId="164" fontId="1" fillId="0" borderId="0" xfId="1" applyNumberFormat="1" applyFont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165" fontId="3" fillId="0" borderId="0" xfId="1" applyNumberFormat="1" applyFont="1"/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5" fillId="3" borderId="1" xfId="1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65" fontId="5" fillId="5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1" fillId="6" borderId="1" xfId="0" applyFont="1" applyFill="1" applyBorder="1"/>
    <xf numFmtId="165" fontId="3" fillId="0" borderId="0" xfId="1" applyNumberFormat="1" applyFont="1" applyAlignment="1">
      <alignment horizontal="center" vertical="center"/>
    </xf>
    <xf numFmtId="165" fontId="3" fillId="7" borderId="0" xfId="1" applyNumberFormat="1" applyFont="1" applyFill="1"/>
    <xf numFmtId="165" fontId="3" fillId="7" borderId="0" xfId="1" applyNumberFormat="1" applyFont="1" applyFill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0.7201100694" createdVersion="8" refreshedVersion="8" minRefreshableVersion="3" recordCount="242" xr:uid="{00000000-000A-0000-FFFF-FFFF00000000}">
  <cacheSource type="worksheet">
    <worksheetSource ref="A1:AW243" sheet="Step1"/>
  </cacheSource>
  <cacheFields count="49">
    <cacheField name="Year" numFmtId="0">
      <sharedItems containsSemiMixedTypes="0" containsString="0" containsNumber="1" containsInteger="1" minValue="0" maxValue="2022" count="11"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Cadres" numFmtId="0">
      <sharedItems count="22">
        <s v="Sum of Medical Doctors"/>
        <s v="Sum of Nursing Personnel"/>
        <s v="Sum of Midwifery personnel"/>
        <s v="Sum of Dentists "/>
        <s v="Sum of Dental Assistants and Therapists "/>
        <s v="Sum of Dental Prosthetic Technicians "/>
        <s v="Sum of Pharmacists "/>
        <s v="Sum of Pharmaceutical Technicians and Assistants "/>
        <s v="Sum of Paramedical Practitioners "/>
        <s v="Sum of Medical and Pathology Laboratory scientists "/>
        <s v="Sum of Medical Imaging and Therapeutic Equipment Technicians "/>
        <s v="Sum of Medical and Pathology Laboratory Technicians "/>
        <s v="Sum of Environmental and Occupational Health and Hygiene Professionals "/>
        <s v="Sum of Environmental and Occupational Health Inspectors and Associates "/>
        <s v="Sum of Community Health Workers "/>
        <s v="Sum of Physiotherapists "/>
        <s v="Sum of Nutritionists "/>
        <s v="Sum of Audiologists and Speech Therapists "/>
        <s v="Sum of Optometrists and Ophthalmic Opticians "/>
        <s v="Sum of Medical Prosthetic Technicians "/>
        <s v="Sum of Social work and counselling professionals "/>
        <s v="Sum of Psychologists "/>
      </sharedItems>
    </cacheField>
    <cacheField name="AGO" numFmtId="0">
      <sharedItems containsSemiMixedTypes="0" containsNonDate="0" containsString="0"/>
    </cacheField>
    <cacheField name="BDI" numFmtId="0">
      <sharedItems containsSemiMixedTypes="0" containsNonDate="0" containsString="0"/>
    </cacheField>
    <cacheField name="BEN" numFmtId="0">
      <sharedItems containsSemiMixedTypes="0" containsNonDate="0" containsString="0"/>
    </cacheField>
    <cacheField name="BFA" numFmtId="0">
      <sharedItems containsSemiMixedTypes="0" containsNonDate="0" containsString="0"/>
    </cacheField>
    <cacheField name="BWA" numFmtId="0">
      <sharedItems containsSemiMixedTypes="0" containsNonDate="0" containsString="0"/>
    </cacheField>
    <cacheField name="CAF" numFmtId="0">
      <sharedItems containsSemiMixedTypes="0" containsNonDate="0" containsString="0"/>
    </cacheField>
    <cacheField name="CIV" numFmtId="0">
      <sharedItems containsSemiMixedTypes="0" containsNonDate="0" containsString="0"/>
    </cacheField>
    <cacheField name="CMR" numFmtId="0">
      <sharedItems containsSemiMixedTypes="0" containsNonDate="0" containsString="0"/>
    </cacheField>
    <cacheField name="COD" numFmtId="0">
      <sharedItems containsSemiMixedTypes="0" containsNonDate="0" containsString="0"/>
    </cacheField>
    <cacheField name="COG" numFmtId="0">
      <sharedItems containsSemiMixedTypes="0" containsNonDate="0" containsString="0"/>
    </cacheField>
    <cacheField name="COM" numFmtId="0">
      <sharedItems containsSemiMixedTypes="0" containsNonDate="0" containsString="0"/>
    </cacheField>
    <cacheField name="CPV" numFmtId="0">
      <sharedItems containsSemiMixedTypes="0" containsNonDate="0" containsString="0"/>
    </cacheField>
    <cacheField name="DZA" numFmtId="0">
      <sharedItems containsSemiMixedTypes="0" containsNonDate="0" containsString="0"/>
    </cacheField>
    <cacheField name="ERI" numFmtId="0">
      <sharedItems containsSemiMixedTypes="0" containsNonDate="0" containsString="0"/>
    </cacheField>
    <cacheField name="ETH" numFmtId="0">
      <sharedItems containsSemiMixedTypes="0" containsNonDate="0" containsString="0"/>
    </cacheField>
    <cacheField name="GAB" numFmtId="0">
      <sharedItems containsSemiMixedTypes="0" containsNonDate="0" containsString="0"/>
    </cacheField>
    <cacheField name="GHA" numFmtId="0">
      <sharedItems containsSemiMixedTypes="0" containsNonDate="0" containsString="0"/>
    </cacheField>
    <cacheField name="GIN" numFmtId="0">
      <sharedItems containsSemiMixedTypes="0" containsNonDate="0" containsString="0"/>
    </cacheField>
    <cacheField name="GMB" numFmtId="0">
      <sharedItems containsSemiMixedTypes="0" containsNonDate="0" containsString="0"/>
    </cacheField>
    <cacheField name="GNB" numFmtId="0">
      <sharedItems containsSemiMixedTypes="0" containsNonDate="0" containsString="0"/>
    </cacheField>
    <cacheField name="GNQ" numFmtId="0">
      <sharedItems containsSemiMixedTypes="0" containsNonDate="0" containsString="0"/>
    </cacheField>
    <cacheField name="KEN" numFmtId="0">
      <sharedItems containsSemiMixedTypes="0" containsNonDate="0" containsString="0"/>
    </cacheField>
    <cacheField name="LBR" numFmtId="0">
      <sharedItems containsSemiMixedTypes="0" containsNonDate="0" containsString="0"/>
    </cacheField>
    <cacheField name="LSO" numFmtId="0">
      <sharedItems containsSemiMixedTypes="0" containsNonDate="0" containsString="0"/>
    </cacheField>
    <cacheField name="MDG" numFmtId="0">
      <sharedItems containsSemiMixedTypes="0" containsNonDate="0" containsString="0"/>
    </cacheField>
    <cacheField name="MLI" numFmtId="0">
      <sharedItems containsSemiMixedTypes="0" containsNonDate="0" containsString="0"/>
    </cacheField>
    <cacheField name="MOZ" numFmtId="0">
      <sharedItems containsSemiMixedTypes="0" containsNonDate="0" containsString="0"/>
    </cacheField>
    <cacheField name="MRT" numFmtId="0">
      <sharedItems containsSemiMixedTypes="0" containsNonDate="0" containsString="0"/>
    </cacheField>
    <cacheField name="MUS" numFmtId="0">
      <sharedItems containsSemiMixedTypes="0" containsNonDate="0" containsString="0"/>
    </cacheField>
    <cacheField name="MWI" numFmtId="0">
      <sharedItems containsSemiMixedTypes="0" containsNonDate="0" containsString="0"/>
    </cacheField>
    <cacheField name="NAM" numFmtId="0">
      <sharedItems containsSemiMixedTypes="0" containsNonDate="0" containsString="0"/>
    </cacheField>
    <cacheField name="NER" numFmtId="0">
      <sharedItems containsSemiMixedTypes="0" containsNonDate="0" containsString="0"/>
    </cacheField>
    <cacheField name="NGA" numFmtId="0">
      <sharedItems containsSemiMixedTypes="0" containsNonDate="0" containsString="0"/>
    </cacheField>
    <cacheField name="RWA" numFmtId="0">
      <sharedItems containsSemiMixedTypes="0" containsNonDate="0" containsString="0"/>
    </cacheField>
    <cacheField name="SEN" numFmtId="0">
      <sharedItems containsSemiMixedTypes="0" containsNonDate="0" containsString="0"/>
    </cacheField>
    <cacheField name="SLE" numFmtId="0">
      <sharedItems containsSemiMixedTypes="0" containsNonDate="0" containsString="0"/>
    </cacheField>
    <cacheField name="SSD" numFmtId="0">
      <sharedItems containsSemiMixedTypes="0" containsNonDate="0" containsString="0"/>
    </cacheField>
    <cacheField name="STP" numFmtId="0">
      <sharedItems containsSemiMixedTypes="0" containsNonDate="0" containsString="0"/>
    </cacheField>
    <cacheField name="SWZ" numFmtId="0">
      <sharedItems containsSemiMixedTypes="0" containsNonDate="0" containsString="0"/>
    </cacheField>
    <cacheField name="SYC" numFmtId="0">
      <sharedItems containsSemiMixedTypes="0" containsNonDate="0" containsString="0"/>
    </cacheField>
    <cacheField name="TCD" numFmtId="0">
      <sharedItems containsSemiMixedTypes="0" containsNonDate="0" containsString="0"/>
    </cacheField>
    <cacheField name="TGO" numFmtId="0">
      <sharedItems containsSemiMixedTypes="0" containsNonDate="0" containsString="0"/>
    </cacheField>
    <cacheField name="TZA" numFmtId="0">
      <sharedItems containsSemiMixedTypes="0" containsNonDate="0" containsString="0"/>
    </cacheField>
    <cacheField name="UGA" numFmtId="0">
      <sharedItems containsSemiMixedTypes="0" containsNonDate="0" containsString="0"/>
    </cacheField>
    <cacheField name="ZAF" numFmtId="0">
      <sharedItems containsSemiMixedTypes="0" containsNonDate="0" containsString="0"/>
    </cacheField>
    <cacheField name="ZMB" numFmtId="0">
      <sharedItems containsSemiMixedTypes="0" containsNonDate="0" containsString="0"/>
    </cacheField>
    <cacheField name="ZW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x v="0"/>
    <n v="0"/>
    <n v="996"/>
    <n v="26"/>
    <n v="1574"/>
    <n v="1638"/>
    <n v="0"/>
    <n v="0"/>
    <n v="0"/>
    <n v="0"/>
    <n v="0"/>
    <n v="246"/>
    <n v="520"/>
    <n v="0"/>
    <n v="389"/>
    <n v="0"/>
    <n v="0"/>
    <n v="4972"/>
    <n v="0"/>
    <n v="0"/>
    <n v="0"/>
    <n v="0"/>
    <n v="16184"/>
    <n v="0"/>
    <n v="0"/>
    <n v="6376"/>
    <n v="3525"/>
    <n v="2716"/>
    <n v="0"/>
    <n v="3444"/>
    <n v="0"/>
    <n v="0"/>
    <n v="1904"/>
    <n v="144"/>
    <n v="0"/>
    <n v="0"/>
    <n v="8"/>
    <n v="0"/>
    <n v="0"/>
    <n v="0"/>
    <n v="186"/>
    <n v="1056"/>
    <n v="49"/>
    <n v="2962"/>
    <n v="6740"/>
    <n v="0"/>
    <n v="156"/>
    <n v="2118"/>
  </r>
  <r>
    <x v="0"/>
    <x v="1"/>
    <n v="0"/>
    <n v="12972"/>
    <n v="10276"/>
    <n v="12016"/>
    <n v="11632"/>
    <n v="0"/>
    <n v="0"/>
    <n v="0"/>
    <n v="0"/>
    <n v="0"/>
    <n v="0"/>
    <n v="1102"/>
    <n v="0"/>
    <n v="0"/>
    <n v="0"/>
    <n v="0"/>
    <n v="0"/>
    <n v="0"/>
    <n v="4772"/>
    <n v="0"/>
    <n v="0"/>
    <n v="123538"/>
    <n v="0"/>
    <n v="0"/>
    <n v="6766"/>
    <n v="8514"/>
    <n v="11652"/>
    <n v="0"/>
    <n v="7474"/>
    <n v="0"/>
    <n v="0"/>
    <n v="0"/>
    <n v="0"/>
    <n v="0"/>
    <n v="0"/>
    <n v="0"/>
    <n v="0"/>
    <n v="0"/>
    <n v="0"/>
    <n v="838"/>
    <n v="6282"/>
    <n v="0"/>
    <n v="41600"/>
    <n v="81632"/>
    <n v="117444"/>
    <n v="0"/>
    <n v="31072"/>
  </r>
  <r>
    <x v="0"/>
    <x v="2"/>
    <n v="0"/>
    <n v="32"/>
    <n v="2960"/>
    <n v="8902"/>
    <n v="0"/>
    <n v="0"/>
    <n v="0"/>
    <n v="0"/>
    <n v="0"/>
    <n v="0"/>
    <n v="1334"/>
    <n v="0"/>
    <n v="0"/>
    <n v="0"/>
    <n v="0"/>
    <n v="0"/>
    <n v="0"/>
    <n v="0"/>
    <n v="0"/>
    <n v="0"/>
    <n v="0"/>
    <n v="0"/>
    <n v="0"/>
    <n v="0"/>
    <n v="2950"/>
    <n v="3540"/>
    <n v="8522"/>
    <n v="0"/>
    <n v="0"/>
    <n v="0"/>
    <n v="0"/>
    <n v="1788"/>
    <n v="0"/>
    <n v="0"/>
    <n v="0"/>
    <n v="0"/>
    <n v="0"/>
    <n v="0"/>
    <n v="0"/>
    <n v="0"/>
    <n v="832"/>
    <n v="0"/>
    <n v="0"/>
    <n v="0"/>
    <n v="0"/>
    <n v="0"/>
    <n v="0"/>
  </r>
  <r>
    <x v="0"/>
    <x v="3"/>
    <m/>
    <m/>
    <m/>
    <n v="38"/>
    <n v="55"/>
    <m/>
    <m/>
    <m/>
    <m/>
    <m/>
    <n v="18"/>
    <m/>
    <m/>
    <m/>
    <m/>
    <m/>
    <m/>
    <m/>
    <m/>
    <m/>
    <m/>
    <n v="985"/>
    <m/>
    <m/>
    <n v="181"/>
    <m/>
    <n v="69"/>
    <m/>
    <n v="301"/>
    <m/>
    <m/>
    <m/>
    <m/>
    <m/>
    <m/>
    <m/>
    <m/>
    <m/>
    <m/>
    <n v="14"/>
    <m/>
    <m/>
    <n v="99"/>
    <m/>
    <n v="5554"/>
    <m/>
    <n v="233"/>
  </r>
  <r>
    <x v="0"/>
    <x v="4"/>
    <m/>
    <m/>
    <m/>
    <m/>
    <m/>
    <m/>
    <m/>
    <m/>
    <m/>
    <m/>
    <m/>
    <m/>
    <m/>
    <m/>
    <m/>
    <m/>
    <m/>
    <m/>
    <m/>
    <m/>
    <m/>
    <m/>
    <m/>
    <m/>
    <m/>
    <m/>
    <n v="305"/>
    <m/>
    <m/>
    <m/>
    <m/>
    <m/>
    <m/>
    <m/>
    <m/>
    <m/>
    <m/>
    <m/>
    <m/>
    <m/>
    <m/>
    <m/>
    <n v="366"/>
    <m/>
    <n v="4104"/>
    <n v="282"/>
    <m/>
  </r>
  <r>
    <x v="0"/>
    <x v="5"/>
    <m/>
    <m/>
    <m/>
    <m/>
    <m/>
    <m/>
    <m/>
    <m/>
    <m/>
    <m/>
    <m/>
    <m/>
    <m/>
    <m/>
    <m/>
    <m/>
    <m/>
    <m/>
    <m/>
    <m/>
    <m/>
    <m/>
    <m/>
    <m/>
    <m/>
    <m/>
    <n v="33"/>
    <m/>
    <m/>
    <m/>
    <m/>
    <m/>
    <m/>
    <m/>
    <m/>
    <m/>
    <m/>
    <m/>
    <m/>
    <m/>
    <m/>
    <m/>
    <n v="44"/>
    <m/>
    <m/>
    <n v="42"/>
    <m/>
  </r>
  <r>
    <x v="0"/>
    <x v="6"/>
    <m/>
    <n v="4"/>
    <m/>
    <n v="203"/>
    <m/>
    <m/>
    <m/>
    <m/>
    <m/>
    <m/>
    <n v="16"/>
    <m/>
    <m/>
    <m/>
    <m/>
    <m/>
    <m/>
    <m/>
    <m/>
    <m/>
    <m/>
    <n v="2076"/>
    <m/>
    <m/>
    <n v="6"/>
    <m/>
    <n v="72"/>
    <m/>
    <n v="432"/>
    <m/>
    <m/>
    <n v="53"/>
    <m/>
    <m/>
    <m/>
    <m/>
    <m/>
    <m/>
    <m/>
    <n v="4"/>
    <n v="68"/>
    <m/>
    <n v="339"/>
    <n v="550"/>
    <n v="13642"/>
    <n v="409"/>
    <n v="378"/>
  </r>
  <r>
    <x v="0"/>
    <x v="7"/>
    <m/>
    <m/>
    <m/>
    <n v="148"/>
    <m/>
    <m/>
    <m/>
    <m/>
    <m/>
    <m/>
    <m/>
    <m/>
    <m/>
    <m/>
    <m/>
    <m/>
    <m/>
    <m/>
    <m/>
    <m/>
    <m/>
    <m/>
    <m/>
    <m/>
    <m/>
    <m/>
    <n v="1390"/>
    <m/>
    <m/>
    <m/>
    <m/>
    <m/>
    <m/>
    <m/>
    <m/>
    <m/>
    <m/>
    <m/>
    <m/>
    <m/>
    <m/>
    <m/>
    <n v="317"/>
    <n v="650"/>
    <n v="7320"/>
    <n v="814"/>
    <m/>
  </r>
  <r>
    <x v="0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87"/>
    <m/>
    <n v="90"/>
    <n v="3141"/>
    <m/>
  </r>
  <r>
    <x v="0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"/>
    <m/>
    <n v="133"/>
    <n v="184"/>
    <n v="352"/>
  </r>
  <r>
    <x v="0"/>
    <x v="10"/>
    <m/>
    <m/>
    <n v="241"/>
    <n v="109"/>
    <m/>
    <m/>
    <m/>
    <m/>
    <m/>
    <m/>
    <m/>
    <m/>
    <m/>
    <m/>
    <m/>
    <m/>
    <m/>
    <m/>
    <m/>
    <m/>
    <m/>
    <m/>
    <m/>
    <m/>
    <m/>
    <m/>
    <n v="267"/>
    <m/>
    <m/>
    <m/>
    <m/>
    <m/>
    <m/>
    <m/>
    <m/>
    <m/>
    <m/>
    <m/>
    <m/>
    <m/>
    <m/>
    <m/>
    <n v="223"/>
    <m/>
    <n v="8095"/>
    <n v="500"/>
    <n v="233"/>
  </r>
  <r>
    <x v="0"/>
    <x v="11"/>
    <m/>
    <m/>
    <n v="845"/>
    <n v="458"/>
    <m/>
    <m/>
    <m/>
    <m/>
    <m/>
    <m/>
    <n v="86"/>
    <m/>
    <m/>
    <m/>
    <m/>
    <m/>
    <m/>
    <m/>
    <m/>
    <m/>
    <m/>
    <m/>
    <m/>
    <m/>
    <m/>
    <m/>
    <n v="1425"/>
    <m/>
    <m/>
    <m/>
    <m/>
    <m/>
    <m/>
    <m/>
    <m/>
    <m/>
    <m/>
    <m/>
    <m/>
    <m/>
    <m/>
    <m/>
    <n v="1997"/>
    <m/>
    <n v="171"/>
    <n v="1126"/>
    <m/>
  </r>
  <r>
    <x v="0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9"/>
    <m/>
    <n v="3255"/>
    <n v="566"/>
    <n v="1905"/>
  </r>
  <r>
    <x v="0"/>
    <x v="13"/>
    <m/>
    <m/>
    <m/>
    <n v="91"/>
    <m/>
    <m/>
    <m/>
    <m/>
    <m/>
    <m/>
    <m/>
    <m/>
    <m/>
    <m/>
    <m/>
    <m/>
    <m/>
    <m/>
    <m/>
    <m/>
    <m/>
    <m/>
    <m/>
    <m/>
    <n v="755"/>
    <m/>
    <m/>
    <m/>
    <m/>
    <m/>
    <m/>
    <m/>
    <m/>
    <m/>
    <m/>
    <m/>
    <m/>
    <m/>
    <m/>
    <m/>
    <m/>
    <m/>
    <m/>
    <m/>
    <m/>
    <m/>
    <m/>
  </r>
  <r>
    <x v="0"/>
    <x v="14"/>
    <m/>
    <m/>
    <m/>
    <n v="2099"/>
    <n v="166"/>
    <m/>
    <m/>
    <m/>
    <m/>
    <m/>
    <m/>
    <m/>
    <m/>
    <m/>
    <m/>
    <m/>
    <m/>
    <m/>
    <m/>
    <m/>
    <m/>
    <m/>
    <m/>
    <m/>
    <m/>
    <m/>
    <n v="1213"/>
    <m/>
    <m/>
    <m/>
    <m/>
    <m/>
    <m/>
    <m/>
    <m/>
    <m/>
    <m/>
    <m/>
    <m/>
    <m/>
    <m/>
    <m/>
    <m/>
    <m/>
    <m/>
    <m/>
    <m/>
  </r>
  <r>
    <x v="0"/>
    <x v="15"/>
    <m/>
    <m/>
    <m/>
    <m/>
    <m/>
    <m/>
    <m/>
    <m/>
    <m/>
    <m/>
    <m/>
    <m/>
    <m/>
    <m/>
    <m/>
    <m/>
    <m/>
    <m/>
    <m/>
    <m/>
    <m/>
    <m/>
    <m/>
    <m/>
    <m/>
    <m/>
    <n v="281"/>
    <m/>
    <m/>
    <m/>
    <m/>
    <m/>
    <m/>
    <m/>
    <m/>
    <m/>
    <m/>
    <m/>
    <m/>
    <m/>
    <m/>
    <m/>
    <n v="118"/>
    <m/>
    <m/>
    <n v="70"/>
    <n v="377"/>
  </r>
  <r>
    <x v="0"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"/>
    <m/>
    <m/>
    <n v="49"/>
    <n v="855"/>
  </r>
  <r>
    <x v="0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85"/>
    <m/>
    <m/>
  </r>
  <r>
    <x v="0"/>
    <x v="18"/>
    <m/>
    <m/>
    <m/>
    <m/>
    <m/>
    <m/>
    <m/>
    <m/>
    <m/>
    <m/>
    <m/>
    <m/>
    <m/>
    <m/>
    <m/>
    <m/>
    <m/>
    <m/>
    <m/>
    <m/>
    <m/>
    <m/>
    <m/>
    <m/>
    <m/>
    <m/>
    <n v="76"/>
    <m/>
    <m/>
    <m/>
    <m/>
    <m/>
    <m/>
    <m/>
    <m/>
    <m/>
    <m/>
    <m/>
    <m/>
    <m/>
    <m/>
    <m/>
    <n v="82"/>
    <m/>
    <n v="3453"/>
    <n v="18"/>
    <m/>
  </r>
  <r>
    <x v="0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n v="11"/>
    <n v="27"/>
  </r>
  <r>
    <x v="0"/>
    <x v="20"/>
    <m/>
    <m/>
    <m/>
    <m/>
    <m/>
    <m/>
    <m/>
    <m/>
    <m/>
    <m/>
    <m/>
    <m/>
    <m/>
    <m/>
    <m/>
    <m/>
    <m/>
    <m/>
    <n v="127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n v="0"/>
    <n v="1108"/>
    <n v="0"/>
    <n v="1606"/>
    <n v="0"/>
    <n v="0"/>
    <n v="0"/>
    <n v="0"/>
    <n v="12836"/>
    <n v="0"/>
    <n v="0"/>
    <n v="616"/>
    <n v="4628"/>
    <n v="427"/>
    <n v="0"/>
    <n v="0"/>
    <n v="5460"/>
    <n v="0"/>
    <n v="0"/>
    <n v="0"/>
    <n v="0"/>
    <n v="17493"/>
    <n v="0"/>
    <n v="0"/>
    <n v="7046"/>
    <n v="4063"/>
    <n v="2904"/>
    <n v="0"/>
    <n v="4092"/>
    <n v="400"/>
    <n v="113"/>
    <n v="1892"/>
    <n v="131518"/>
    <n v="2208"/>
    <n v="42"/>
    <n v="0"/>
    <n v="32"/>
    <n v="0"/>
    <n v="0"/>
    <n v="0"/>
    <n v="1146"/>
    <n v="53"/>
    <n v="0"/>
    <n v="0"/>
    <n v="0"/>
    <n v="0"/>
    <n v="2228"/>
  </r>
  <r>
    <x v="1"/>
    <x v="1"/>
    <n v="0"/>
    <n v="13146"/>
    <n v="9760"/>
    <n v="12392"/>
    <n v="0"/>
    <n v="0"/>
    <n v="17560"/>
    <n v="0"/>
    <n v="119626"/>
    <n v="6578"/>
    <n v="0"/>
    <n v="806"/>
    <n v="0"/>
    <n v="8524"/>
    <n v="0"/>
    <n v="0"/>
    <n v="0"/>
    <n v="0"/>
    <n v="0"/>
    <n v="1468"/>
    <n v="0"/>
    <n v="80584"/>
    <n v="0"/>
    <n v="0"/>
    <n v="6876"/>
    <n v="0"/>
    <n v="12864"/>
    <n v="0"/>
    <n v="7926"/>
    <n v="7090"/>
    <n v="8220"/>
    <n v="6578"/>
    <n v="149840"/>
    <n v="0"/>
    <n v="0"/>
    <n v="12212"/>
    <n v="0"/>
    <n v="0"/>
    <n v="7470"/>
    <n v="0"/>
    <n v="7212"/>
    <n v="0"/>
    <n v="0"/>
    <n v="80298"/>
    <n v="0"/>
    <n v="0"/>
    <n v="37444"/>
  </r>
  <r>
    <x v="1"/>
    <x v="2"/>
    <n v="60"/>
    <n v="70"/>
    <n v="1886"/>
    <n v="3182"/>
    <n v="3002"/>
    <n v="1028"/>
    <n v="7702"/>
    <n v="254"/>
    <n v="3110"/>
    <n v="2564"/>
    <n v="590"/>
    <n v="0"/>
    <n v="0"/>
    <n v="0"/>
    <n v="13850"/>
    <n v="874"/>
    <n v="22574"/>
    <n v="1000"/>
    <n v="518"/>
    <n v="306"/>
    <n v="0"/>
    <n v="0"/>
    <n v="1612"/>
    <n v="0"/>
    <n v="6800"/>
    <n v="3922"/>
    <n v="8530"/>
    <n v="736"/>
    <n v="0"/>
    <n v="96"/>
    <n v="0"/>
    <n v="1672"/>
    <n v="202550"/>
    <n v="1244"/>
    <n v="7892"/>
    <n v="4374"/>
    <n v="0"/>
    <n v="62"/>
    <n v="0"/>
    <n v="0"/>
    <n v="902"/>
    <n v="1590"/>
    <n v="0"/>
    <n v="14000"/>
    <n v="0"/>
    <n v="5546"/>
    <n v="0"/>
  </r>
  <r>
    <x v="1"/>
    <x v="3"/>
    <m/>
    <n v="4"/>
    <m/>
    <m/>
    <m/>
    <m/>
    <m/>
    <m/>
    <m/>
    <m/>
    <m/>
    <m/>
    <m/>
    <m/>
    <m/>
    <m/>
    <m/>
    <m/>
    <m/>
    <m/>
    <m/>
    <n v="1045"/>
    <m/>
    <m/>
    <n v="111"/>
    <m/>
    <n v="136"/>
    <m/>
    <n v="351"/>
    <m/>
    <m/>
    <n v="30"/>
    <m/>
    <m/>
    <n v="54"/>
    <m/>
    <m/>
    <m/>
    <m/>
    <m/>
    <m/>
    <m/>
    <m/>
    <m/>
    <n v="5770"/>
    <m/>
    <n v="236"/>
  </r>
  <r>
    <x v="1"/>
    <x v="4"/>
    <m/>
    <m/>
    <m/>
    <m/>
    <m/>
    <m/>
    <m/>
    <m/>
    <m/>
    <m/>
    <m/>
    <m/>
    <m/>
    <m/>
    <m/>
    <m/>
    <m/>
    <m/>
    <m/>
    <m/>
    <m/>
    <m/>
    <m/>
    <m/>
    <m/>
    <m/>
    <n v="238"/>
    <m/>
    <m/>
    <m/>
    <m/>
    <m/>
    <m/>
    <m/>
    <m/>
    <m/>
    <m/>
    <m/>
    <m/>
    <m/>
    <m/>
    <m/>
    <m/>
    <m/>
    <n v="4625"/>
    <m/>
    <m/>
  </r>
  <r>
    <x v="1"/>
    <x v="5"/>
    <m/>
    <m/>
    <m/>
    <m/>
    <m/>
    <m/>
    <m/>
    <m/>
    <m/>
    <m/>
    <m/>
    <m/>
    <m/>
    <m/>
    <m/>
    <m/>
    <m/>
    <m/>
    <m/>
    <m/>
    <m/>
    <m/>
    <m/>
    <m/>
    <m/>
    <m/>
    <n v="44"/>
    <m/>
    <m/>
    <m/>
    <m/>
    <m/>
    <m/>
    <m/>
    <m/>
    <m/>
    <m/>
    <m/>
    <m/>
    <m/>
    <m/>
    <m/>
    <m/>
    <m/>
    <m/>
    <m/>
    <m/>
  </r>
  <r>
    <x v="1"/>
    <x v="6"/>
    <m/>
    <m/>
    <n v="1330"/>
    <n v="207"/>
    <m/>
    <m/>
    <m/>
    <m/>
    <n v="283"/>
    <m/>
    <m/>
    <m/>
    <m/>
    <m/>
    <m/>
    <m/>
    <m/>
    <m/>
    <m/>
    <m/>
    <m/>
    <n v="2202"/>
    <m/>
    <m/>
    <n v="17"/>
    <m/>
    <n v="103"/>
    <m/>
    <n v="460"/>
    <n v="170"/>
    <m/>
    <n v="51"/>
    <m/>
    <m/>
    <m/>
    <m/>
    <m/>
    <m/>
    <m/>
    <m/>
    <n v="72"/>
    <m/>
    <m/>
    <m/>
    <m/>
    <m/>
    <n v="394"/>
  </r>
  <r>
    <x v="1"/>
    <x v="7"/>
    <m/>
    <m/>
    <n v="770"/>
    <m/>
    <m/>
    <m/>
    <m/>
    <m/>
    <m/>
    <m/>
    <m/>
    <m/>
    <m/>
    <m/>
    <m/>
    <m/>
    <m/>
    <m/>
    <m/>
    <m/>
    <m/>
    <m/>
    <m/>
    <m/>
    <m/>
    <m/>
    <n v="1388"/>
    <m/>
    <m/>
    <m/>
    <m/>
    <m/>
    <m/>
    <m/>
    <n v="371"/>
    <m/>
    <m/>
    <m/>
    <m/>
    <m/>
    <m/>
    <m/>
    <m/>
    <m/>
    <m/>
    <m/>
    <m/>
  </r>
  <r>
    <x v="1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"/>
    <m/>
    <m/>
    <m/>
    <m/>
    <m/>
    <m/>
    <m/>
    <m/>
    <m/>
    <n v="217"/>
    <m/>
    <m/>
  </r>
  <r>
    <x v="1"/>
    <x v="9"/>
    <m/>
    <m/>
    <m/>
    <m/>
    <m/>
    <m/>
    <m/>
    <m/>
    <n v="2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"/>
    <m/>
    <n v="343"/>
  </r>
  <r>
    <x v="1"/>
    <x v="10"/>
    <m/>
    <m/>
    <n v="206"/>
    <m/>
    <m/>
    <m/>
    <m/>
    <m/>
    <n v="287"/>
    <m/>
    <m/>
    <m/>
    <m/>
    <m/>
    <m/>
    <m/>
    <m/>
    <m/>
    <m/>
    <m/>
    <m/>
    <m/>
    <m/>
    <m/>
    <m/>
    <m/>
    <n v="238"/>
    <m/>
    <m/>
    <m/>
    <m/>
    <m/>
    <m/>
    <m/>
    <n v="22"/>
    <m/>
    <m/>
    <m/>
    <m/>
    <m/>
    <m/>
    <m/>
    <m/>
    <m/>
    <n v="8476"/>
    <m/>
    <n v="239"/>
  </r>
  <r>
    <x v="1"/>
    <x v="11"/>
    <m/>
    <m/>
    <n v="830"/>
    <m/>
    <m/>
    <m/>
    <m/>
    <m/>
    <m/>
    <m/>
    <m/>
    <m/>
    <m/>
    <m/>
    <m/>
    <m/>
    <n v="3987"/>
    <m/>
    <m/>
    <m/>
    <m/>
    <m/>
    <m/>
    <m/>
    <m/>
    <m/>
    <n v="1465"/>
    <m/>
    <m/>
    <m/>
    <m/>
    <m/>
    <m/>
    <m/>
    <n v="546"/>
    <m/>
    <m/>
    <m/>
    <m/>
    <m/>
    <m/>
    <m/>
    <m/>
    <m/>
    <n v="273"/>
    <m/>
    <m/>
  </r>
  <r>
    <x v="1"/>
    <x v="12"/>
    <m/>
    <m/>
    <m/>
    <m/>
    <m/>
    <m/>
    <m/>
    <m/>
    <m/>
    <m/>
    <m/>
    <m/>
    <m/>
    <m/>
    <m/>
    <m/>
    <n v="3639"/>
    <m/>
    <m/>
    <m/>
    <m/>
    <m/>
    <m/>
    <m/>
    <m/>
    <m/>
    <m/>
    <m/>
    <m/>
    <m/>
    <m/>
    <m/>
    <m/>
    <m/>
    <m/>
    <m/>
    <m/>
    <m/>
    <m/>
    <m/>
    <m/>
    <m/>
    <m/>
    <m/>
    <n v="3330"/>
    <m/>
    <n v="1885"/>
  </r>
  <r>
    <x v="1"/>
    <x v="13"/>
    <m/>
    <m/>
    <m/>
    <m/>
    <m/>
    <m/>
    <m/>
    <m/>
    <m/>
    <m/>
    <m/>
    <m/>
    <m/>
    <m/>
    <m/>
    <m/>
    <n v="1473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14"/>
    <m/>
    <m/>
    <m/>
    <m/>
    <m/>
    <m/>
    <m/>
    <m/>
    <m/>
    <m/>
    <m/>
    <m/>
    <m/>
    <m/>
    <m/>
    <m/>
    <n v="5293"/>
    <m/>
    <m/>
    <m/>
    <m/>
    <m/>
    <m/>
    <m/>
    <m/>
    <m/>
    <n v="1204"/>
    <m/>
    <m/>
    <m/>
    <m/>
    <n v="6560"/>
    <m/>
    <m/>
    <m/>
    <m/>
    <m/>
    <m/>
    <m/>
    <m/>
    <m/>
    <m/>
    <m/>
    <m/>
    <m/>
    <m/>
    <m/>
  </r>
  <r>
    <x v="1"/>
    <x v="15"/>
    <m/>
    <m/>
    <m/>
    <m/>
    <m/>
    <m/>
    <m/>
    <m/>
    <m/>
    <m/>
    <m/>
    <m/>
    <m/>
    <m/>
    <m/>
    <m/>
    <m/>
    <m/>
    <m/>
    <m/>
    <m/>
    <m/>
    <m/>
    <m/>
    <m/>
    <m/>
    <n v="287"/>
    <m/>
    <m/>
    <m/>
    <m/>
    <m/>
    <m/>
    <m/>
    <n v="11"/>
    <m/>
    <m/>
    <m/>
    <m/>
    <m/>
    <m/>
    <m/>
    <m/>
    <m/>
    <m/>
    <m/>
    <n v="419"/>
  </r>
  <r>
    <x v="1"/>
    <x v="16"/>
    <m/>
    <m/>
    <m/>
    <m/>
    <m/>
    <m/>
    <m/>
    <m/>
    <n v="5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5"/>
  </r>
  <r>
    <x v="1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86"/>
    <m/>
    <m/>
  </r>
  <r>
    <x v="1"/>
    <x v="18"/>
    <m/>
    <m/>
    <m/>
    <m/>
    <m/>
    <m/>
    <m/>
    <m/>
    <m/>
    <m/>
    <m/>
    <m/>
    <m/>
    <m/>
    <m/>
    <m/>
    <m/>
    <m/>
    <m/>
    <m/>
    <m/>
    <m/>
    <m/>
    <m/>
    <m/>
    <m/>
    <n v="115"/>
    <m/>
    <m/>
    <m/>
    <m/>
    <m/>
    <m/>
    <m/>
    <m/>
    <m/>
    <m/>
    <m/>
    <m/>
    <m/>
    <m/>
    <m/>
    <m/>
    <m/>
    <n v="3588"/>
    <m/>
    <m/>
  </r>
  <r>
    <x v="1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"/>
  </r>
  <r>
    <x v="1"/>
    <x v="20"/>
    <m/>
    <m/>
    <m/>
    <m/>
    <m/>
    <m/>
    <m/>
    <m/>
    <m/>
    <m/>
    <m/>
    <m/>
    <m/>
    <m/>
    <m/>
    <m/>
    <n v="2636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n v="0"/>
    <n v="1218"/>
    <n v="191"/>
    <n v="1818"/>
    <n v="76"/>
    <n v="17"/>
    <n v="11036"/>
    <n v="0"/>
    <n v="0"/>
    <n v="0"/>
    <n v="0"/>
    <n v="0"/>
    <n v="612"/>
    <n v="484"/>
    <n v="0"/>
    <n v="0"/>
    <n v="6032"/>
    <n v="3688"/>
    <n v="0"/>
    <n v="0"/>
    <n v="0"/>
    <n v="18971"/>
    <n v="0"/>
    <n v="0"/>
    <n v="8550"/>
    <n v="3576"/>
    <n v="0"/>
    <n v="1244"/>
    <n v="4858"/>
    <n v="68"/>
    <n v="24"/>
    <n v="1119"/>
    <n v="2281"/>
    <n v="2098"/>
    <n v="0"/>
    <n v="1"/>
    <n v="0"/>
    <n v="0"/>
    <n v="0"/>
    <n v="0"/>
    <n v="1216"/>
    <n v="0"/>
    <n v="6036"/>
    <n v="0"/>
    <n v="5084"/>
    <n v="0"/>
    <n v="3561"/>
  </r>
  <r>
    <x v="2"/>
    <x v="1"/>
    <n v="0"/>
    <n v="13638"/>
    <n v="0"/>
    <n v="12716"/>
    <n v="0"/>
    <n v="0"/>
    <n v="17736"/>
    <n v="0"/>
    <n v="0"/>
    <n v="6916"/>
    <n v="0"/>
    <n v="952"/>
    <n v="0"/>
    <n v="8264"/>
    <n v="0"/>
    <n v="0"/>
    <n v="74808"/>
    <n v="11578"/>
    <n v="0"/>
    <n v="1899"/>
    <n v="0"/>
    <n v="86622"/>
    <n v="0"/>
    <n v="0"/>
    <n v="0"/>
    <n v="0"/>
    <n v="12696"/>
    <n v="7692"/>
    <n v="8250"/>
    <n v="0"/>
    <n v="8424"/>
    <n v="9880"/>
    <n v="0"/>
    <n v="19250"/>
    <n v="0"/>
    <n v="12216"/>
    <n v="0"/>
    <n v="0"/>
    <n v="7694"/>
    <n v="0"/>
    <n v="7212"/>
    <n v="0"/>
    <n v="43104"/>
    <n v="90776"/>
    <n v="0"/>
    <n v="0"/>
    <n v="44810"/>
  </r>
  <r>
    <x v="2"/>
    <x v="2"/>
    <n v="0"/>
    <n v="48"/>
    <n v="0"/>
    <n v="3488"/>
    <n v="0"/>
    <n v="0"/>
    <n v="10600"/>
    <n v="0"/>
    <n v="0"/>
    <n v="0"/>
    <n v="0"/>
    <n v="0"/>
    <n v="22278"/>
    <n v="0"/>
    <n v="0"/>
    <n v="0"/>
    <n v="0"/>
    <n v="1000"/>
    <n v="0"/>
    <n v="0"/>
    <n v="0"/>
    <n v="0"/>
    <n v="0"/>
    <n v="0"/>
    <n v="0"/>
    <n v="0"/>
    <n v="9298"/>
    <n v="0"/>
    <n v="0"/>
    <n v="0"/>
    <n v="0"/>
    <n v="1918"/>
    <n v="0"/>
    <n v="1384"/>
    <n v="0"/>
    <n v="1170"/>
    <n v="0"/>
    <n v="0"/>
    <n v="0"/>
    <n v="0"/>
    <n v="0"/>
    <n v="0"/>
    <n v="0"/>
    <n v="0"/>
    <n v="0"/>
    <n v="0"/>
    <n v="0"/>
  </r>
  <r>
    <x v="2"/>
    <x v="3"/>
    <m/>
    <m/>
    <m/>
    <m/>
    <m/>
    <m/>
    <n v="490"/>
    <m/>
    <m/>
    <m/>
    <m/>
    <m/>
    <m/>
    <m/>
    <m/>
    <m/>
    <m/>
    <m/>
    <m/>
    <m/>
    <m/>
    <n v="1090"/>
    <m/>
    <m/>
    <m/>
    <m/>
    <m/>
    <m/>
    <n v="366"/>
    <m/>
    <n v="68"/>
    <n v="21"/>
    <m/>
    <m/>
    <m/>
    <m/>
    <m/>
    <m/>
    <m/>
    <m/>
    <m/>
    <m/>
    <n v="104"/>
    <m/>
    <n v="5817"/>
    <m/>
    <n v="107"/>
  </r>
  <r>
    <x v="2"/>
    <x v="4"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3"/>
    <m/>
    <n v="4687"/>
    <m/>
    <n v="171"/>
  </r>
  <r>
    <x v="2"/>
    <x v="5"/>
    <m/>
    <m/>
    <m/>
    <m/>
    <m/>
    <m/>
    <n v="1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6"/>
    <m/>
    <m/>
    <m/>
    <n v="217"/>
    <m/>
    <m/>
    <n v="2430"/>
    <m/>
    <m/>
    <m/>
    <m/>
    <m/>
    <m/>
    <m/>
    <m/>
    <m/>
    <m/>
    <m/>
    <m/>
    <m/>
    <m/>
    <n v="2355"/>
    <m/>
    <m/>
    <m/>
    <m/>
    <m/>
    <m/>
    <n v="494"/>
    <m/>
    <m/>
    <m/>
    <m/>
    <m/>
    <m/>
    <m/>
    <m/>
    <m/>
    <m/>
    <m/>
    <n v="78"/>
    <m/>
    <n v="707"/>
    <m/>
    <n v="14994"/>
    <m/>
    <n v="193"/>
  </r>
  <r>
    <x v="2"/>
    <x v="7"/>
    <m/>
    <m/>
    <m/>
    <m/>
    <m/>
    <m/>
    <n v="23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32"/>
    <m/>
    <n v="17491"/>
    <m/>
    <n v="511"/>
  </r>
  <r>
    <x v="2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36"/>
    <m/>
    <n v="362"/>
    <m/>
    <n v="145"/>
  </r>
  <r>
    <x v="2"/>
    <x v="9"/>
    <m/>
    <m/>
    <m/>
    <m/>
    <m/>
    <m/>
    <n v="23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"/>
    <m/>
    <n v="145"/>
    <m/>
    <m/>
  </r>
  <r>
    <x v="2"/>
    <x v="10"/>
    <m/>
    <m/>
    <m/>
    <m/>
    <m/>
    <m/>
    <n v="8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24"/>
    <m/>
    <n v="312"/>
  </r>
  <r>
    <x v="2"/>
    <x v="11"/>
    <m/>
    <m/>
    <m/>
    <m/>
    <m/>
    <m/>
    <n v="1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08"/>
    <m/>
    <n v="326"/>
    <m/>
    <n v="519"/>
  </r>
  <r>
    <x v="2"/>
    <x v="12"/>
    <m/>
    <m/>
    <m/>
    <m/>
    <m/>
    <m/>
    <n v="7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5"/>
    <m/>
    <n v="3435"/>
    <m/>
    <n v="2052"/>
  </r>
  <r>
    <x v="2"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9"/>
    <m/>
    <m/>
    <m/>
    <n v="2052"/>
  </r>
  <r>
    <x v="2"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15"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3"/>
  </r>
  <r>
    <x v="2"/>
    <x v="16"/>
    <m/>
    <m/>
    <m/>
    <m/>
    <m/>
    <m/>
    <n v="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9"/>
  </r>
  <r>
    <x v="2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46"/>
    <m/>
    <m/>
  </r>
  <r>
    <x v="2"/>
    <x v="18"/>
    <m/>
    <m/>
    <m/>
    <m/>
    <m/>
    <m/>
    <n v="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5"/>
    <m/>
    <m/>
  </r>
  <r>
    <x v="2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"/>
  </r>
  <r>
    <x v="2"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n v="0"/>
    <n v="1016"/>
    <n v="0"/>
    <n v="2378"/>
    <n v="0"/>
    <n v="648"/>
    <n v="0"/>
    <n v="0"/>
    <n v="0"/>
    <n v="0"/>
    <n v="0"/>
    <n v="820"/>
    <n v="0"/>
    <n v="497"/>
    <n v="0"/>
    <n v="0"/>
    <n v="6526"/>
    <n v="1954"/>
    <n v="426"/>
    <n v="708"/>
    <n v="0"/>
    <n v="0"/>
    <n v="336"/>
    <n v="0"/>
    <n v="0"/>
    <n v="3583"/>
    <n v="38"/>
    <n v="1384"/>
    <n v="5100"/>
    <n v="0"/>
    <n v="0"/>
    <n v="1268"/>
    <n v="0"/>
    <n v="2568"/>
    <n v="72"/>
    <n v="0"/>
    <n v="0"/>
    <n v="126"/>
    <n v="0"/>
    <n v="4"/>
    <n v="1392"/>
    <n v="722"/>
    <n v="0"/>
    <n v="7290"/>
    <n v="1143"/>
    <n v="0"/>
    <n v="5462"/>
  </r>
  <r>
    <x v="3"/>
    <x v="1"/>
    <n v="0"/>
    <n v="13376"/>
    <n v="0"/>
    <n v="19496"/>
    <n v="0"/>
    <n v="644"/>
    <n v="21782"/>
    <n v="0"/>
    <n v="144540"/>
    <n v="7704"/>
    <n v="0"/>
    <n v="996"/>
    <n v="0"/>
    <n v="7924"/>
    <n v="0"/>
    <n v="0"/>
    <n v="97878"/>
    <n v="8778"/>
    <n v="4744"/>
    <n v="2098"/>
    <n v="0"/>
    <n v="82826"/>
    <n v="0"/>
    <n v="0"/>
    <n v="0"/>
    <n v="0"/>
    <n v="13854"/>
    <n v="8274"/>
    <n v="8522"/>
    <n v="0"/>
    <n v="8730"/>
    <n v="6506"/>
    <n v="0"/>
    <n v="20734"/>
    <n v="3364"/>
    <n v="11746"/>
    <n v="0"/>
    <n v="884"/>
    <n v="7952"/>
    <n v="0"/>
    <n v="7126"/>
    <n v="2682"/>
    <n v="0"/>
    <n v="101362"/>
    <n v="0"/>
    <n v="0"/>
    <n v="41532"/>
  </r>
  <r>
    <x v="3"/>
    <x v="2"/>
    <n v="0"/>
    <n v="158"/>
    <n v="0"/>
    <n v="4766"/>
    <n v="0"/>
    <n v="1210"/>
    <n v="0"/>
    <n v="0"/>
    <n v="0"/>
    <n v="0"/>
    <n v="0"/>
    <n v="0"/>
    <n v="0"/>
    <n v="0"/>
    <n v="0"/>
    <n v="0"/>
    <n v="13616"/>
    <n v="752"/>
    <n v="1700"/>
    <n v="0"/>
    <n v="0"/>
    <n v="0"/>
    <n v="0"/>
    <n v="0"/>
    <n v="0"/>
    <n v="0"/>
    <n v="10316"/>
    <n v="0"/>
    <n v="0"/>
    <n v="0"/>
    <n v="0"/>
    <n v="1648"/>
    <n v="0"/>
    <n v="1736"/>
    <n v="2232"/>
    <n v="0"/>
    <n v="0"/>
    <n v="0"/>
    <n v="0"/>
    <n v="0"/>
    <n v="0"/>
    <n v="1738"/>
    <n v="0"/>
    <n v="17630"/>
    <n v="0"/>
    <n v="0"/>
    <n v="0"/>
  </r>
  <r>
    <x v="3"/>
    <x v="3"/>
    <m/>
    <m/>
    <m/>
    <m/>
    <m/>
    <m/>
    <m/>
    <m/>
    <m/>
    <m/>
    <m/>
    <m/>
    <m/>
    <m/>
    <m/>
    <m/>
    <m/>
    <m/>
    <n v="17"/>
    <m/>
    <m/>
    <m/>
    <m/>
    <m/>
    <m/>
    <m/>
    <n v="189"/>
    <m/>
    <n v="380"/>
    <m/>
    <m/>
    <n v="30"/>
    <m/>
    <n v="127"/>
    <m/>
    <m/>
    <m/>
    <m/>
    <m/>
    <m/>
    <m/>
    <n v="18"/>
    <m/>
    <n v="276"/>
    <n v="5985"/>
    <m/>
    <n v="66"/>
  </r>
  <r>
    <x v="3"/>
    <x v="4"/>
    <m/>
    <m/>
    <m/>
    <m/>
    <m/>
    <m/>
    <m/>
    <m/>
    <m/>
    <m/>
    <m/>
    <m/>
    <m/>
    <m/>
    <m/>
    <m/>
    <m/>
    <m/>
    <m/>
    <m/>
    <m/>
    <m/>
    <m/>
    <m/>
    <m/>
    <m/>
    <n v="45"/>
    <m/>
    <m/>
    <m/>
    <m/>
    <m/>
    <m/>
    <m/>
    <m/>
    <m/>
    <m/>
    <m/>
    <m/>
    <m/>
    <m/>
    <m/>
    <m/>
    <m/>
    <n v="4785"/>
    <m/>
    <n v="261"/>
  </r>
  <r>
    <x v="3"/>
    <x v="5"/>
    <m/>
    <m/>
    <m/>
    <m/>
    <m/>
    <m/>
    <m/>
    <m/>
    <m/>
    <m/>
    <m/>
    <m/>
    <m/>
    <m/>
    <m/>
    <m/>
    <m/>
    <m/>
    <n v="3"/>
    <m/>
    <m/>
    <m/>
    <m/>
    <m/>
    <m/>
    <m/>
    <n v="212"/>
    <m/>
    <m/>
    <m/>
    <m/>
    <m/>
    <m/>
    <m/>
    <m/>
    <m/>
    <m/>
    <m/>
    <m/>
    <m/>
    <m/>
    <m/>
    <m/>
    <m/>
    <m/>
    <m/>
    <m/>
  </r>
  <r>
    <x v="3"/>
    <x v="6"/>
    <m/>
    <m/>
    <m/>
    <n v="258"/>
    <m/>
    <n v="20"/>
    <m/>
    <m/>
    <m/>
    <m/>
    <m/>
    <m/>
    <m/>
    <m/>
    <m/>
    <m/>
    <m/>
    <n v="142"/>
    <n v="5"/>
    <m/>
    <m/>
    <m/>
    <m/>
    <m/>
    <m/>
    <m/>
    <n v="194"/>
    <m/>
    <n v="497"/>
    <m/>
    <m/>
    <n v="50"/>
    <n v="20035"/>
    <n v="114"/>
    <n v="143"/>
    <m/>
    <m/>
    <m/>
    <m/>
    <m/>
    <n v="79"/>
    <n v="17"/>
    <m/>
    <n v="45"/>
    <n v="15784"/>
    <m/>
    <n v="141"/>
  </r>
  <r>
    <x v="3"/>
    <x v="7"/>
    <m/>
    <m/>
    <m/>
    <m/>
    <m/>
    <m/>
    <m/>
    <m/>
    <m/>
    <m/>
    <m/>
    <m/>
    <m/>
    <m/>
    <m/>
    <m/>
    <m/>
    <m/>
    <n v="99"/>
    <m/>
    <m/>
    <m/>
    <m/>
    <m/>
    <m/>
    <m/>
    <m/>
    <m/>
    <m/>
    <m/>
    <m/>
    <m/>
    <m/>
    <m/>
    <m/>
    <m/>
    <m/>
    <m/>
    <m/>
    <m/>
    <m/>
    <m/>
    <m/>
    <m/>
    <n v="18477"/>
    <m/>
    <n v="443"/>
  </r>
  <r>
    <x v="3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4"/>
    <m/>
    <m/>
  </r>
  <r>
    <x v="3"/>
    <x v="9"/>
    <m/>
    <m/>
    <m/>
    <m/>
    <m/>
    <m/>
    <m/>
    <m/>
    <m/>
    <m/>
    <m/>
    <m/>
    <m/>
    <m/>
    <m/>
    <m/>
    <m/>
    <m/>
    <n v="11"/>
    <m/>
    <m/>
    <m/>
    <m/>
    <m/>
    <m/>
    <m/>
    <m/>
    <m/>
    <m/>
    <m/>
    <m/>
    <m/>
    <m/>
    <m/>
    <m/>
    <m/>
    <m/>
    <m/>
    <m/>
    <m/>
    <m/>
    <n v="407"/>
    <m/>
    <m/>
    <n v="149"/>
    <m/>
    <m/>
  </r>
  <r>
    <x v="3"/>
    <x v="10"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n v="116"/>
    <m/>
    <m/>
    <m/>
    <m/>
    <m/>
    <m/>
    <m/>
    <m/>
    <m/>
    <n v="121"/>
    <n v="9175"/>
    <m/>
    <n v="511"/>
  </r>
  <r>
    <x v="3"/>
    <x v="11"/>
    <m/>
    <m/>
    <m/>
    <m/>
    <m/>
    <m/>
    <m/>
    <m/>
    <m/>
    <m/>
    <m/>
    <m/>
    <m/>
    <m/>
    <m/>
    <m/>
    <m/>
    <m/>
    <n v="141"/>
    <m/>
    <m/>
    <m/>
    <m/>
    <m/>
    <m/>
    <m/>
    <m/>
    <m/>
    <m/>
    <m/>
    <m/>
    <m/>
    <m/>
    <n v="1545"/>
    <m/>
    <m/>
    <m/>
    <m/>
    <m/>
    <m/>
    <m/>
    <m/>
    <m/>
    <n v="2447"/>
    <n v="453"/>
    <m/>
    <n v="644"/>
  </r>
  <r>
    <x v="3"/>
    <x v="12"/>
    <m/>
    <m/>
    <m/>
    <m/>
    <m/>
    <m/>
    <m/>
    <m/>
    <m/>
    <m/>
    <m/>
    <m/>
    <m/>
    <m/>
    <m/>
    <m/>
    <m/>
    <m/>
    <n v="172"/>
    <m/>
    <m/>
    <m/>
    <m/>
    <m/>
    <m/>
    <m/>
    <m/>
    <m/>
    <m/>
    <m/>
    <m/>
    <m/>
    <m/>
    <n v="226"/>
    <m/>
    <m/>
    <m/>
    <m/>
    <m/>
    <m/>
    <m/>
    <m/>
    <m/>
    <n v="1925"/>
    <n v="3518"/>
    <m/>
    <n v="2494"/>
  </r>
  <r>
    <x v="3"/>
    <x v="13"/>
    <m/>
    <m/>
    <m/>
    <m/>
    <m/>
    <n v="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4"/>
    <m/>
    <m/>
    <m/>
    <m/>
    <m/>
    <m/>
    <m/>
    <m/>
    <m/>
    <m/>
    <m/>
    <m/>
    <m/>
    <m/>
    <m/>
    <m/>
    <m/>
    <n v="6700"/>
    <m/>
    <m/>
    <m/>
    <m/>
    <m/>
    <m/>
    <m/>
    <m/>
    <m/>
    <m/>
    <m/>
    <m/>
    <m/>
    <m/>
    <m/>
    <m/>
    <n v="770"/>
    <m/>
    <m/>
    <m/>
    <m/>
    <m/>
    <m/>
    <m/>
    <m/>
    <n v="179175"/>
    <m/>
    <m/>
    <n v="11200"/>
  </r>
  <r>
    <x v="3"/>
    <x v="15"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n v="125"/>
    <m/>
    <m/>
    <m/>
    <m/>
    <m/>
    <m/>
    <m/>
    <m/>
    <m/>
    <n v="114"/>
    <m/>
    <m/>
    <n v="472"/>
  </r>
  <r>
    <x v="3"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7"/>
    <m/>
    <m/>
    <m/>
    <m/>
    <m/>
    <m/>
    <m/>
    <m/>
    <m/>
    <m/>
    <m/>
    <m/>
    <m/>
  </r>
  <r>
    <x v="3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13"/>
    <m/>
    <m/>
  </r>
  <r>
    <x v="3"/>
    <x v="18"/>
    <m/>
    <m/>
    <m/>
    <m/>
    <m/>
    <m/>
    <m/>
    <m/>
    <m/>
    <m/>
    <m/>
    <m/>
    <m/>
    <m/>
    <m/>
    <m/>
    <m/>
    <m/>
    <n v="17"/>
    <m/>
    <m/>
    <m/>
    <m/>
    <m/>
    <m/>
    <m/>
    <m/>
    <m/>
    <m/>
    <m/>
    <m/>
    <m/>
    <m/>
    <m/>
    <m/>
    <m/>
    <m/>
    <m/>
    <m/>
    <m/>
    <m/>
    <m/>
    <m/>
    <m/>
    <n v="3783"/>
    <m/>
    <m/>
  </r>
  <r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m/>
    <m/>
    <n v="227"/>
    <m/>
    <m/>
    <m/>
  </r>
  <r>
    <x v="3"/>
    <x v="20"/>
    <m/>
    <m/>
    <m/>
    <m/>
    <m/>
    <n v="83"/>
    <m/>
    <m/>
    <m/>
    <m/>
    <m/>
    <m/>
    <m/>
    <m/>
    <m/>
    <m/>
    <m/>
    <m/>
    <m/>
    <m/>
    <m/>
    <m/>
    <m/>
    <m/>
    <m/>
    <m/>
    <m/>
    <m/>
    <m/>
    <m/>
    <m/>
    <m/>
    <m/>
    <n v="886"/>
    <m/>
    <m/>
    <m/>
    <m/>
    <m/>
    <m/>
    <m/>
    <m/>
    <m/>
    <m/>
    <m/>
    <m/>
    <m/>
  </r>
  <r>
    <x v="3"/>
    <x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n v="0"/>
    <n v="0"/>
    <n v="1046"/>
    <n v="2404"/>
    <n v="1671"/>
    <n v="0"/>
    <n v="0"/>
    <n v="0"/>
    <n v="200"/>
    <n v="1060"/>
    <n v="440"/>
    <n v="816"/>
    <n v="148618"/>
    <n v="537"/>
    <n v="296"/>
    <n v="1430"/>
    <n v="7236"/>
    <n v="1954"/>
    <n v="1"/>
    <n v="388"/>
    <n v="0"/>
    <n v="380"/>
    <n v="468"/>
    <n v="0"/>
    <n v="35"/>
    <n v="4570"/>
    <n v="57"/>
    <n v="0"/>
    <n v="5538"/>
    <n v="1093"/>
    <n v="0"/>
    <n v="1362"/>
    <n v="167130"/>
    <n v="2918"/>
    <n v="3195"/>
    <n v="0"/>
    <n v="0"/>
    <n v="0"/>
    <n v="220"/>
    <n v="410"/>
    <n v="1080"/>
    <n v="964"/>
    <n v="67"/>
    <n v="42"/>
    <n v="87529"/>
    <n v="3074"/>
    <n v="5458"/>
  </r>
  <r>
    <x v="4"/>
    <x v="1"/>
    <n v="0"/>
    <n v="0"/>
    <n v="14448"/>
    <n v="19402"/>
    <n v="14854"/>
    <n v="0"/>
    <n v="24264"/>
    <n v="0"/>
    <n v="89794"/>
    <n v="7434"/>
    <n v="0"/>
    <n v="1224"/>
    <n v="181916"/>
    <n v="8968"/>
    <n v="0"/>
    <n v="9192"/>
    <n v="105210"/>
    <n v="2020"/>
    <n v="0"/>
    <n v="2006"/>
    <n v="0"/>
    <n v="97474"/>
    <n v="0"/>
    <n v="0"/>
    <n v="0"/>
    <n v="9530"/>
    <n v="15320"/>
    <n v="0"/>
    <n v="8268"/>
    <n v="9146"/>
    <n v="9632"/>
    <n v="9492"/>
    <n v="370202"/>
    <n v="22562"/>
    <n v="4980"/>
    <n v="10320"/>
    <n v="0"/>
    <n v="0"/>
    <n v="8400"/>
    <n v="1368"/>
    <n v="6212"/>
    <n v="2838"/>
    <n v="0"/>
    <n v="110456"/>
    <n v="0"/>
    <n v="0"/>
    <n v="42747"/>
  </r>
  <r>
    <x v="4"/>
    <x v="2"/>
    <n v="0"/>
    <n v="0"/>
    <n v="2068"/>
    <n v="5160"/>
    <n v="2922"/>
    <n v="0"/>
    <n v="0"/>
    <n v="0"/>
    <n v="3586"/>
    <n v="1842"/>
    <n v="1000"/>
    <n v="0"/>
    <n v="0"/>
    <n v="752"/>
    <n v="24138"/>
    <n v="1026"/>
    <n v="15324"/>
    <n v="886"/>
    <n v="0"/>
    <n v="250"/>
    <n v="0"/>
    <n v="4184"/>
    <n v="0"/>
    <n v="0"/>
    <n v="3166"/>
    <n v="5314"/>
    <n v="11410"/>
    <n v="0"/>
    <n v="0"/>
    <n v="1136"/>
    <n v="0"/>
    <n v="1712"/>
    <n v="282550"/>
    <n v="2140"/>
    <n v="4004"/>
    <n v="626"/>
    <n v="0"/>
    <n v="0"/>
    <n v="0"/>
    <n v="178"/>
    <n v="0"/>
    <n v="1922"/>
    <n v="0"/>
    <n v="19604"/>
    <n v="2568"/>
    <n v="6666"/>
    <n v="0"/>
  </r>
  <r>
    <x v="4"/>
    <x v="3"/>
    <m/>
    <m/>
    <n v="9"/>
    <m/>
    <n v="91"/>
    <m/>
    <m/>
    <n v="88"/>
    <n v="147"/>
    <n v="27"/>
    <m/>
    <n v="4"/>
    <m/>
    <m/>
    <m/>
    <m/>
    <n v="400"/>
    <n v="50"/>
    <m/>
    <n v="7"/>
    <m/>
    <m/>
    <m/>
    <m/>
    <m/>
    <n v="107"/>
    <m/>
    <m/>
    <n v="385"/>
    <m/>
    <m/>
    <n v="18"/>
    <n v="4081"/>
    <m/>
    <n v="121"/>
    <n v="53"/>
    <m/>
    <m/>
    <m/>
    <n v="34"/>
    <m/>
    <m/>
    <m/>
    <m/>
    <n v="6158"/>
    <n v="312"/>
    <n v="136"/>
  </r>
  <r>
    <x v="4"/>
    <x v="4"/>
    <m/>
    <m/>
    <m/>
    <m/>
    <m/>
    <m/>
    <m/>
    <m/>
    <m/>
    <m/>
    <m/>
    <m/>
    <m/>
    <m/>
    <m/>
    <m/>
    <n v="516"/>
    <m/>
    <m/>
    <n v="8"/>
    <m/>
    <m/>
    <m/>
    <m/>
    <m/>
    <m/>
    <m/>
    <m/>
    <m/>
    <m/>
    <m/>
    <m/>
    <m/>
    <m/>
    <m/>
    <m/>
    <m/>
    <m/>
    <m/>
    <m/>
    <m/>
    <m/>
    <m/>
    <m/>
    <n v="5484"/>
    <m/>
    <n v="157"/>
  </r>
  <r>
    <x v="4"/>
    <x v="5"/>
    <m/>
    <m/>
    <m/>
    <m/>
    <m/>
    <m/>
    <m/>
    <m/>
    <m/>
    <m/>
    <m/>
    <m/>
    <m/>
    <m/>
    <m/>
    <n v="33"/>
    <n v="30"/>
    <m/>
    <m/>
    <n v="4"/>
    <m/>
    <m/>
    <m/>
    <m/>
    <m/>
    <m/>
    <m/>
    <m/>
    <m/>
    <m/>
    <m/>
    <m/>
    <m/>
    <m/>
    <n v="57"/>
    <m/>
    <m/>
    <m/>
    <m/>
    <m/>
    <m/>
    <n v="2"/>
    <m/>
    <m/>
    <m/>
    <m/>
    <m/>
  </r>
  <r>
    <x v="4"/>
    <x v="6"/>
    <m/>
    <m/>
    <n v="13"/>
    <n v="235"/>
    <m/>
    <m/>
    <m/>
    <n v="199"/>
    <n v="404"/>
    <n v="73"/>
    <m/>
    <n v="4"/>
    <m/>
    <m/>
    <m/>
    <n v="46"/>
    <n v="570"/>
    <n v="107"/>
    <m/>
    <n v="5"/>
    <m/>
    <m/>
    <m/>
    <m/>
    <n v="4"/>
    <n v="194"/>
    <m/>
    <m/>
    <n v="514"/>
    <m/>
    <m/>
    <n v="24"/>
    <m/>
    <m/>
    <n v="170"/>
    <n v="82"/>
    <m/>
    <m/>
    <m/>
    <n v="45"/>
    <m/>
    <n v="13"/>
    <m/>
    <m/>
    <n v="15267"/>
    <n v="1159"/>
    <n v="219"/>
  </r>
  <r>
    <x v="4"/>
    <x v="7"/>
    <m/>
    <m/>
    <m/>
    <m/>
    <m/>
    <m/>
    <m/>
    <m/>
    <m/>
    <m/>
    <m/>
    <m/>
    <m/>
    <m/>
    <m/>
    <n v="72"/>
    <m/>
    <m/>
    <m/>
    <n v="35"/>
    <m/>
    <m/>
    <m/>
    <m/>
    <m/>
    <m/>
    <m/>
    <m/>
    <m/>
    <n v="218"/>
    <m/>
    <m/>
    <m/>
    <m/>
    <m/>
    <m/>
    <m/>
    <m/>
    <m/>
    <n v="64"/>
    <m/>
    <n v="1"/>
    <m/>
    <m/>
    <n v="21713"/>
    <m/>
    <n v="540"/>
  </r>
  <r>
    <x v="4"/>
    <x v="8"/>
    <m/>
    <m/>
    <m/>
    <m/>
    <m/>
    <m/>
    <m/>
    <m/>
    <m/>
    <m/>
    <m/>
    <m/>
    <m/>
    <m/>
    <m/>
    <m/>
    <m/>
    <m/>
    <m/>
    <n v="11"/>
    <m/>
    <m/>
    <m/>
    <m/>
    <m/>
    <m/>
    <m/>
    <m/>
    <m/>
    <n v="1159"/>
    <m/>
    <m/>
    <m/>
    <m/>
    <m/>
    <m/>
    <m/>
    <m/>
    <m/>
    <m/>
    <m/>
    <n v="638"/>
    <m/>
    <m/>
    <m/>
    <n v="1814"/>
    <n v="130"/>
  </r>
  <r>
    <x v="4"/>
    <x v="9"/>
    <m/>
    <m/>
    <m/>
    <m/>
    <m/>
    <m/>
    <m/>
    <m/>
    <m/>
    <m/>
    <m/>
    <m/>
    <m/>
    <m/>
    <m/>
    <m/>
    <m/>
    <m/>
    <m/>
    <n v="158"/>
    <m/>
    <m/>
    <m/>
    <m/>
    <m/>
    <m/>
    <m/>
    <m/>
    <m/>
    <m/>
    <m/>
    <m/>
    <m/>
    <m/>
    <m/>
    <m/>
    <m/>
    <m/>
    <m/>
    <m/>
    <m/>
    <n v="276"/>
    <m/>
    <m/>
    <n v="4802"/>
    <n v="921"/>
    <m/>
  </r>
  <r>
    <x v="4"/>
    <x v="10"/>
    <m/>
    <m/>
    <n v="234"/>
    <m/>
    <m/>
    <m/>
    <m/>
    <m/>
    <m/>
    <m/>
    <m/>
    <m/>
    <m/>
    <m/>
    <m/>
    <n v="66"/>
    <m/>
    <n v="8"/>
    <m/>
    <m/>
    <m/>
    <m/>
    <m/>
    <m/>
    <m/>
    <m/>
    <m/>
    <m/>
    <m/>
    <m/>
    <m/>
    <m/>
    <m/>
    <m/>
    <n v="78"/>
    <m/>
    <m/>
    <m/>
    <m/>
    <m/>
    <m/>
    <n v="112"/>
    <m/>
    <m/>
    <n v="8484"/>
    <n v="419"/>
    <n v="320"/>
  </r>
  <r>
    <x v="4"/>
    <x v="11"/>
    <m/>
    <m/>
    <n v="1166"/>
    <m/>
    <m/>
    <m/>
    <m/>
    <m/>
    <m/>
    <m/>
    <m/>
    <m/>
    <m/>
    <m/>
    <m/>
    <n v="287"/>
    <m/>
    <n v="209"/>
    <m/>
    <n v="16"/>
    <m/>
    <m/>
    <m/>
    <m/>
    <m/>
    <m/>
    <m/>
    <m/>
    <m/>
    <n v="397"/>
    <m/>
    <m/>
    <m/>
    <m/>
    <n v="37"/>
    <m/>
    <m/>
    <m/>
    <m/>
    <m/>
    <m/>
    <n v="129"/>
    <m/>
    <m/>
    <n v="5377"/>
    <m/>
    <n v="600"/>
  </r>
  <r>
    <x v="4"/>
    <x v="12"/>
    <m/>
    <m/>
    <n v="254"/>
    <m/>
    <m/>
    <m/>
    <m/>
    <m/>
    <m/>
    <m/>
    <m/>
    <m/>
    <m/>
    <m/>
    <m/>
    <n v="174"/>
    <m/>
    <m/>
    <m/>
    <m/>
    <m/>
    <m/>
    <m/>
    <m/>
    <m/>
    <m/>
    <m/>
    <m/>
    <m/>
    <m/>
    <m/>
    <m/>
    <m/>
    <m/>
    <n v="146"/>
    <m/>
    <m/>
    <m/>
    <m/>
    <m/>
    <m/>
    <n v="293"/>
    <m/>
    <m/>
    <n v="3642"/>
    <n v="1796"/>
    <n v="1843"/>
  </r>
  <r>
    <x v="4"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</r>
  <r>
    <x v="4"/>
    <x v="14"/>
    <m/>
    <m/>
    <m/>
    <m/>
    <m/>
    <m/>
    <m/>
    <m/>
    <m/>
    <m/>
    <m/>
    <m/>
    <m/>
    <m/>
    <m/>
    <m/>
    <m/>
    <n v="6700"/>
    <m/>
    <m/>
    <m/>
    <m/>
    <m/>
    <m/>
    <m/>
    <m/>
    <m/>
    <m/>
    <m/>
    <m/>
    <m/>
    <m/>
    <m/>
    <m/>
    <n v="5"/>
    <n v="14622"/>
    <m/>
    <m/>
    <m/>
    <m/>
    <m/>
    <m/>
    <m/>
    <m/>
    <m/>
    <m/>
    <m/>
  </r>
  <r>
    <x v="4"/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2"/>
    <m/>
    <m/>
    <n v="7199"/>
    <m/>
    <n v="432"/>
  </r>
  <r>
    <x v="4"/>
    <x v="16"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n v="1"/>
    <m/>
    <m/>
    <n v="197"/>
    <n v="202"/>
    <n v="58"/>
  </r>
  <r>
    <x v="4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m/>
    <m/>
    <n v="3140"/>
    <m/>
    <m/>
  </r>
  <r>
    <x v="4"/>
    <x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n v="3725"/>
    <m/>
    <n v="13"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"/>
    <m/>
    <m/>
    <m/>
    <m/>
    <n v="17"/>
  </r>
  <r>
    <x v="4"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"/>
    <m/>
    <m/>
    <m/>
    <m/>
    <m/>
  </r>
  <r>
    <x v="4"/>
    <x v="21"/>
    <m/>
    <m/>
    <m/>
    <m/>
    <m/>
    <m/>
    <m/>
    <m/>
    <m/>
    <n v="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"/>
    <m/>
    <m/>
    <n v="8190"/>
    <m/>
    <m/>
  </r>
  <r>
    <x v="5"/>
    <x v="0"/>
    <n v="12800"/>
    <n v="0"/>
    <n v="0"/>
    <n v="3990"/>
    <n v="0"/>
    <n v="0"/>
    <n v="0"/>
    <n v="0"/>
    <n v="0"/>
    <n v="0"/>
    <n v="0"/>
    <n v="0"/>
    <n v="0"/>
    <n v="529"/>
    <n v="0"/>
    <n v="3543"/>
    <n v="5358"/>
    <n v="0"/>
    <n v="464"/>
    <n v="0"/>
    <n v="1014"/>
    <n v="0"/>
    <n v="496"/>
    <n v="0"/>
    <n v="0"/>
    <n v="4576"/>
    <n v="4985"/>
    <n v="1582"/>
    <n v="5854"/>
    <n v="11"/>
    <n v="2842"/>
    <n v="950"/>
    <n v="0"/>
    <n v="3830"/>
    <n v="2132"/>
    <n v="0"/>
    <n v="1"/>
    <n v="0"/>
    <n v="425"/>
    <n v="39"/>
    <n v="1302"/>
    <n v="1490"/>
    <n v="0"/>
    <n v="13836"/>
    <n v="89306"/>
    <n v="0"/>
    <n v="5734"/>
  </r>
  <r>
    <x v="5"/>
    <x v="1"/>
    <n v="0"/>
    <n v="18142"/>
    <n v="0"/>
    <n v="20752"/>
    <n v="0"/>
    <n v="0"/>
    <n v="27166"/>
    <n v="0"/>
    <n v="146092"/>
    <n v="0"/>
    <n v="0"/>
    <n v="1376"/>
    <n v="184000"/>
    <n v="9056"/>
    <n v="176328"/>
    <n v="10700"/>
    <n v="117216"/>
    <n v="0"/>
    <n v="2648"/>
    <n v="0"/>
    <n v="1268"/>
    <n v="106336"/>
    <n v="0"/>
    <n v="0"/>
    <n v="0"/>
    <n v="0"/>
    <n v="15922"/>
    <n v="9142"/>
    <n v="8890"/>
    <n v="0"/>
    <n v="9706"/>
    <n v="0"/>
    <n v="0"/>
    <n v="1290"/>
    <n v="5640"/>
    <n v="11960"/>
    <n v="0"/>
    <n v="0"/>
    <n v="8862"/>
    <n v="0"/>
    <n v="6974"/>
    <n v="3932"/>
    <n v="63880"/>
    <n v="120912"/>
    <n v="0"/>
    <n v="31382"/>
    <n v="59965"/>
  </r>
  <r>
    <x v="5"/>
    <x v="2"/>
    <n v="0"/>
    <n v="320"/>
    <n v="0"/>
    <n v="13138"/>
    <n v="0"/>
    <n v="0"/>
    <n v="0"/>
    <n v="0"/>
    <n v="0"/>
    <n v="0"/>
    <n v="0"/>
    <n v="0"/>
    <n v="0"/>
    <n v="0"/>
    <n v="0"/>
    <n v="1466"/>
    <n v="19108"/>
    <n v="0"/>
    <n v="844"/>
    <n v="0"/>
    <n v="0"/>
    <n v="0"/>
    <n v="0"/>
    <n v="0"/>
    <n v="5862"/>
    <n v="0"/>
    <n v="11640"/>
    <n v="0"/>
    <n v="0"/>
    <n v="0"/>
    <n v="0"/>
    <n v="0"/>
    <n v="0"/>
    <n v="4288"/>
    <n v="4004"/>
    <n v="0"/>
    <n v="0"/>
    <n v="0"/>
    <n v="0"/>
    <n v="0"/>
    <n v="0"/>
    <n v="2536"/>
    <n v="0"/>
    <n v="0"/>
    <n v="0"/>
    <n v="0"/>
    <n v="17612"/>
  </r>
  <r>
    <x v="5"/>
    <x v="3"/>
    <m/>
    <m/>
    <n v="73"/>
    <n v="80"/>
    <m/>
    <m/>
    <m/>
    <m/>
    <m/>
    <m/>
    <m/>
    <m/>
    <n v="14263"/>
    <m/>
    <m/>
    <n v="37"/>
    <m/>
    <m/>
    <m/>
    <m/>
    <m/>
    <m/>
    <m/>
    <m/>
    <m/>
    <m/>
    <n v="217"/>
    <m/>
    <n v="401"/>
    <m/>
    <m/>
    <m/>
    <m/>
    <n v="236"/>
    <n v="121"/>
    <m/>
    <m/>
    <m/>
    <m/>
    <m/>
    <m/>
    <n v="57"/>
    <m/>
    <m/>
    <n v="6314"/>
    <m/>
    <n v="109"/>
  </r>
  <r>
    <x v="5"/>
    <x v="4"/>
    <m/>
    <m/>
    <n v="33"/>
    <m/>
    <m/>
    <m/>
    <m/>
    <m/>
    <m/>
    <m/>
    <m/>
    <m/>
    <m/>
    <m/>
    <m/>
    <n v="3"/>
    <n v="46"/>
    <m/>
    <m/>
    <m/>
    <m/>
    <m/>
    <m/>
    <m/>
    <m/>
    <n v="53"/>
    <n v="319"/>
    <m/>
    <m/>
    <m/>
    <m/>
    <m/>
    <m/>
    <m/>
    <n v="57"/>
    <m/>
    <m/>
    <m/>
    <m/>
    <m/>
    <m/>
    <m/>
    <m/>
    <m/>
    <n v="6948"/>
    <m/>
    <n v="276"/>
  </r>
  <r>
    <x v="5"/>
    <x v="5"/>
    <m/>
    <m/>
    <n v="15"/>
    <m/>
    <m/>
    <m/>
    <m/>
    <m/>
    <m/>
    <m/>
    <m/>
    <m/>
    <n v="521"/>
    <m/>
    <m/>
    <n v="46"/>
    <n v="167"/>
    <m/>
    <m/>
    <m/>
    <m/>
    <m/>
    <m/>
    <m/>
    <m/>
    <m/>
    <m/>
    <m/>
    <m/>
    <m/>
    <m/>
    <m/>
    <m/>
    <m/>
    <m/>
    <m/>
    <m/>
    <m/>
    <m/>
    <m/>
    <m/>
    <n v="6"/>
    <m/>
    <m/>
    <n v="3330"/>
    <m/>
    <m/>
  </r>
  <r>
    <x v="5"/>
    <x v="6"/>
    <m/>
    <m/>
    <m/>
    <n v="284"/>
    <m/>
    <m/>
    <m/>
    <m/>
    <m/>
    <m/>
    <m/>
    <m/>
    <m/>
    <m/>
    <m/>
    <n v="121"/>
    <n v="718"/>
    <m/>
    <m/>
    <m/>
    <m/>
    <m/>
    <m/>
    <m/>
    <m/>
    <m/>
    <n v="255"/>
    <m/>
    <n v="531"/>
    <m/>
    <m/>
    <m/>
    <m/>
    <n v="879"/>
    <n v="170"/>
    <m/>
    <m/>
    <m/>
    <m/>
    <m/>
    <n v="71"/>
    <n v="218"/>
    <m/>
    <m/>
    <m/>
    <m/>
    <n v="272"/>
  </r>
  <r>
    <x v="5"/>
    <x v="7"/>
    <m/>
    <m/>
    <m/>
    <n v="156"/>
    <m/>
    <m/>
    <m/>
    <m/>
    <m/>
    <m/>
    <m/>
    <m/>
    <m/>
    <m/>
    <m/>
    <n v="106"/>
    <n v="821"/>
    <m/>
    <n v="74"/>
    <m/>
    <m/>
    <m/>
    <m/>
    <m/>
    <m/>
    <m/>
    <n v="2055"/>
    <m/>
    <m/>
    <m/>
    <m/>
    <m/>
    <m/>
    <n v="201"/>
    <m/>
    <m/>
    <m/>
    <m/>
    <m/>
    <m/>
    <m/>
    <n v="3"/>
    <m/>
    <m/>
    <n v="11741"/>
    <m/>
    <n v="726"/>
  </r>
  <r>
    <x v="5"/>
    <x v="8"/>
    <m/>
    <m/>
    <m/>
    <m/>
    <m/>
    <m/>
    <m/>
    <m/>
    <m/>
    <m/>
    <m/>
    <m/>
    <m/>
    <m/>
    <m/>
    <n v="58"/>
    <m/>
    <m/>
    <m/>
    <m/>
    <m/>
    <m/>
    <m/>
    <m/>
    <m/>
    <m/>
    <n v="6281"/>
    <m/>
    <m/>
    <m/>
    <m/>
    <m/>
    <m/>
    <m/>
    <m/>
    <m/>
    <m/>
    <m/>
    <m/>
    <m/>
    <m/>
    <n v="945"/>
    <m/>
    <m/>
    <n v="8919"/>
    <m/>
    <n v="174"/>
  </r>
  <r>
    <x v="5"/>
    <x v="9"/>
    <m/>
    <n v="1073"/>
    <m/>
    <n v="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"/>
    <m/>
    <m/>
    <m/>
    <m/>
    <m/>
    <m/>
    <n v="454"/>
    <m/>
    <m/>
    <n v="5267"/>
    <m/>
    <m/>
  </r>
  <r>
    <x v="5"/>
    <x v="10"/>
    <m/>
    <m/>
    <m/>
    <m/>
    <m/>
    <m/>
    <m/>
    <m/>
    <m/>
    <m/>
    <m/>
    <m/>
    <m/>
    <m/>
    <m/>
    <n v="93"/>
    <m/>
    <m/>
    <m/>
    <m/>
    <m/>
    <m/>
    <m/>
    <m/>
    <m/>
    <m/>
    <n v="290"/>
    <m/>
    <m/>
    <m/>
    <m/>
    <m/>
    <m/>
    <m/>
    <m/>
    <m/>
    <m/>
    <m/>
    <m/>
    <m/>
    <m/>
    <n v="151"/>
    <m/>
    <m/>
    <n v="8681"/>
    <m/>
    <n v="417"/>
  </r>
  <r>
    <x v="5"/>
    <x v="11"/>
    <m/>
    <m/>
    <m/>
    <m/>
    <m/>
    <m/>
    <m/>
    <m/>
    <m/>
    <m/>
    <m/>
    <m/>
    <m/>
    <m/>
    <m/>
    <n v="442"/>
    <m/>
    <m/>
    <m/>
    <m/>
    <m/>
    <m/>
    <m/>
    <m/>
    <m/>
    <m/>
    <n v="1958"/>
    <m/>
    <m/>
    <m/>
    <m/>
    <m/>
    <m/>
    <n v="1990"/>
    <m/>
    <m/>
    <m/>
    <m/>
    <m/>
    <m/>
    <m/>
    <n v="201"/>
    <m/>
    <m/>
    <n v="5525"/>
    <m/>
    <n v="781"/>
  </r>
  <r>
    <x v="5"/>
    <x v="12"/>
    <m/>
    <n v="363"/>
    <m/>
    <n v="160"/>
    <m/>
    <m/>
    <m/>
    <m/>
    <m/>
    <m/>
    <m/>
    <m/>
    <m/>
    <m/>
    <m/>
    <m/>
    <m/>
    <m/>
    <m/>
    <m/>
    <m/>
    <m/>
    <m/>
    <m/>
    <m/>
    <m/>
    <m/>
    <m/>
    <m/>
    <m/>
    <m/>
    <m/>
    <m/>
    <n v="201"/>
    <n v="146"/>
    <m/>
    <m/>
    <m/>
    <m/>
    <m/>
    <m/>
    <n v="309"/>
    <m/>
    <m/>
    <n v="3730"/>
    <m/>
    <n v="2036"/>
  </r>
  <r>
    <x v="5"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"/>
    <m/>
    <m/>
    <m/>
    <m/>
    <m/>
  </r>
  <r>
    <x v="5"/>
    <x v="14"/>
    <m/>
    <m/>
    <m/>
    <n v="2749"/>
    <m/>
    <m/>
    <m/>
    <m/>
    <m/>
    <m/>
    <m/>
    <m/>
    <m/>
    <m/>
    <m/>
    <m/>
    <n v="15456"/>
    <m/>
    <m/>
    <m/>
    <m/>
    <m/>
    <m/>
    <m/>
    <m/>
    <m/>
    <n v="1991"/>
    <m/>
    <m/>
    <m/>
    <m/>
    <m/>
    <m/>
    <m/>
    <n v="5"/>
    <m/>
    <m/>
    <m/>
    <m/>
    <m/>
    <m/>
    <n v="7545"/>
    <m/>
    <m/>
    <m/>
    <m/>
    <n v="15000"/>
  </r>
  <r>
    <x v="5"/>
    <x v="15"/>
    <m/>
    <m/>
    <m/>
    <n v="18"/>
    <m/>
    <m/>
    <m/>
    <m/>
    <m/>
    <m/>
    <m/>
    <m/>
    <m/>
    <m/>
    <m/>
    <n v="43"/>
    <n v="324"/>
    <m/>
    <m/>
    <m/>
    <m/>
    <m/>
    <m/>
    <m/>
    <m/>
    <m/>
    <n v="52"/>
    <m/>
    <m/>
    <m/>
    <m/>
    <m/>
    <m/>
    <n v="182"/>
    <m/>
    <m/>
    <m/>
    <m/>
    <m/>
    <m/>
    <m/>
    <n v="174"/>
    <m/>
    <m/>
    <n v="7476"/>
    <m/>
    <n v="503"/>
  </r>
  <r>
    <x v="5"/>
    <x v="16"/>
    <m/>
    <m/>
    <m/>
    <n v="19"/>
    <m/>
    <m/>
    <m/>
    <m/>
    <m/>
    <m/>
    <m/>
    <m/>
    <m/>
    <m/>
    <m/>
    <n v="4"/>
    <n v="462"/>
    <m/>
    <m/>
    <m/>
    <m/>
    <m/>
    <m/>
    <m/>
    <m/>
    <m/>
    <n v="211"/>
    <m/>
    <m/>
    <m/>
    <m/>
    <m/>
    <m/>
    <m/>
    <m/>
    <m/>
    <m/>
    <m/>
    <m/>
    <m/>
    <m/>
    <n v="7"/>
    <m/>
    <m/>
    <n v="219"/>
    <m/>
    <m/>
  </r>
  <r>
    <x v="5"/>
    <x v="17"/>
    <m/>
    <m/>
    <m/>
    <m/>
    <m/>
    <m/>
    <m/>
    <m/>
    <m/>
    <m/>
    <m/>
    <m/>
    <m/>
    <m/>
    <m/>
    <n v="2"/>
    <m/>
    <m/>
    <m/>
    <m/>
    <m/>
    <m/>
    <m/>
    <m/>
    <m/>
    <m/>
    <n v="2"/>
    <m/>
    <m/>
    <m/>
    <m/>
    <m/>
    <m/>
    <m/>
    <m/>
    <m/>
    <m/>
    <m/>
    <m/>
    <m/>
    <m/>
    <n v="21"/>
    <m/>
    <m/>
    <n v="3323"/>
    <m/>
    <m/>
  </r>
  <r>
    <x v="5"/>
    <x v="18"/>
    <m/>
    <m/>
    <m/>
    <n v="3"/>
    <m/>
    <m/>
    <m/>
    <m/>
    <m/>
    <m/>
    <m/>
    <m/>
    <m/>
    <m/>
    <m/>
    <n v="5"/>
    <n v="133"/>
    <m/>
    <m/>
    <m/>
    <m/>
    <m/>
    <m/>
    <m/>
    <m/>
    <m/>
    <n v="147"/>
    <m/>
    <m/>
    <m/>
    <m/>
    <m/>
    <m/>
    <m/>
    <m/>
    <m/>
    <m/>
    <m/>
    <m/>
    <m/>
    <m/>
    <n v="6"/>
    <m/>
    <m/>
    <n v="3790"/>
    <m/>
    <n v="20"/>
  </r>
  <r>
    <x v="5"/>
    <x v="19"/>
    <m/>
    <m/>
    <m/>
    <n v="3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m/>
    <m/>
    <m/>
    <m/>
    <m/>
    <m/>
    <n v="58"/>
    <m/>
    <m/>
    <m/>
    <m/>
    <m/>
  </r>
  <r>
    <x v="5"/>
    <x v="20"/>
    <m/>
    <m/>
    <m/>
    <m/>
    <m/>
    <m/>
    <m/>
    <m/>
    <m/>
    <m/>
    <m/>
    <m/>
    <m/>
    <m/>
    <m/>
    <m/>
    <m/>
    <m/>
    <m/>
    <m/>
    <m/>
    <m/>
    <m/>
    <m/>
    <m/>
    <m/>
    <n v="279"/>
    <m/>
    <m/>
    <m/>
    <m/>
    <m/>
    <m/>
    <m/>
    <m/>
    <m/>
    <m/>
    <m/>
    <m/>
    <m/>
    <m/>
    <n v="21"/>
    <m/>
    <m/>
    <n v="15011"/>
    <m/>
    <m/>
  </r>
  <r>
    <x v="5"/>
    <x v="21"/>
    <m/>
    <n v="93"/>
    <m/>
    <m/>
    <m/>
    <m/>
    <m/>
    <m/>
    <m/>
    <m/>
    <m/>
    <m/>
    <m/>
    <m/>
    <m/>
    <n v="41"/>
    <m/>
    <m/>
    <m/>
    <m/>
    <m/>
    <m/>
    <m/>
    <m/>
    <m/>
    <m/>
    <n v="219"/>
    <m/>
    <m/>
    <m/>
    <m/>
    <m/>
    <m/>
    <m/>
    <m/>
    <m/>
    <m/>
    <m/>
    <m/>
    <m/>
    <m/>
    <n v="57"/>
    <m/>
    <m/>
    <n v="8453"/>
    <m/>
    <m/>
  </r>
  <r>
    <x v="6"/>
    <x v="0"/>
    <n v="13186"/>
    <n v="45"/>
    <n v="2300"/>
    <n v="3368"/>
    <n v="1850"/>
    <n v="670"/>
    <n v="11204"/>
    <n v="6518"/>
    <n v="0"/>
    <n v="1088"/>
    <n v="440"/>
    <n v="916"/>
    <n v="185038"/>
    <n v="639"/>
    <n v="17026"/>
    <n v="2736"/>
    <n v="8812"/>
    <n v="5574"/>
    <n v="596"/>
    <n v="1181"/>
    <n v="0"/>
    <n v="20964"/>
    <n v="1407"/>
    <n v="1996"/>
    <n v="0"/>
    <n v="5155"/>
    <n v="5147"/>
    <n v="1700"/>
    <n v="4790"/>
    <n v="5520"/>
    <n v="1726"/>
    <n v="1745"/>
    <n v="149976"/>
    <n v="3296"/>
    <n v="0"/>
    <n v="1132"/>
    <n v="822"/>
    <n v="0"/>
    <n v="556"/>
    <n v="537"/>
    <n v="1606"/>
    <n v="1633"/>
    <n v="5770"/>
    <n v="0"/>
    <n v="87006"/>
    <n v="8042"/>
    <n v="6665"/>
  </r>
  <r>
    <x v="6"/>
    <x v="1"/>
    <n v="25108"/>
    <n v="18312"/>
    <n v="6820"/>
    <n v="0"/>
    <n v="15290"/>
    <n v="2390"/>
    <n v="30326"/>
    <n v="18312"/>
    <n v="186652"/>
    <n v="10162"/>
    <n v="1358"/>
    <n v="1412"/>
    <n v="112822"/>
    <n v="9942"/>
    <n v="123544"/>
    <n v="12170"/>
    <n v="250048"/>
    <n v="14390"/>
    <n v="2996"/>
    <n v="1488"/>
    <n v="0"/>
    <n v="119802"/>
    <n v="4526"/>
    <n v="13732"/>
    <n v="7666"/>
    <n v="11986"/>
    <n v="16306"/>
    <n v="8223"/>
    <n v="9972"/>
    <n v="15914"/>
    <n v="10614"/>
    <n v="8251"/>
    <n v="220210"/>
    <n v="26690"/>
    <n v="0"/>
    <n v="11514"/>
    <n v="7452"/>
    <n v="812"/>
    <n v="9412"/>
    <n v="2223"/>
    <n v="9598"/>
    <n v="3902"/>
    <n v="63880"/>
    <n v="105814"/>
    <n v="141104"/>
    <n v="41492"/>
    <n v="67752"/>
  </r>
  <r>
    <x v="6"/>
    <x v="2"/>
    <n v="0"/>
    <n v="0"/>
    <n v="2110"/>
    <n v="0"/>
    <n v="0"/>
    <n v="0"/>
    <n v="0"/>
    <n v="0"/>
    <n v="0"/>
    <n v="0"/>
    <n v="968"/>
    <n v="0"/>
    <n v="17896"/>
    <n v="0"/>
    <n v="32318"/>
    <n v="0"/>
    <n v="20978"/>
    <n v="0"/>
    <n v="0"/>
    <n v="0"/>
    <n v="0"/>
    <n v="0"/>
    <n v="1784"/>
    <n v="0"/>
    <n v="7988"/>
    <n v="6470"/>
    <n v="12042"/>
    <n v="1342"/>
    <n v="0"/>
    <n v="0"/>
    <n v="10"/>
    <n v="1812"/>
    <n v="142474"/>
    <n v="2942"/>
    <n v="0"/>
    <n v="0"/>
    <n v="0"/>
    <n v="0"/>
    <n v="0"/>
    <n v="316"/>
    <n v="0"/>
    <n v="2570"/>
    <n v="0"/>
    <n v="0"/>
    <n v="0"/>
    <n v="4274"/>
    <n v="0"/>
  </r>
  <r>
    <x v="6"/>
    <x v="3"/>
    <n v="1652"/>
    <n v="14"/>
    <n v="12"/>
    <n v="91"/>
    <n v="96"/>
    <n v="10"/>
    <n v="506"/>
    <m/>
    <n v="404"/>
    <n v="27"/>
    <n v="32"/>
    <n v="81"/>
    <n v="15437"/>
    <n v="186"/>
    <n v="1889"/>
    <n v="40"/>
    <n v="713"/>
    <n v="73"/>
    <n v="4"/>
    <n v="0"/>
    <m/>
    <n v="841"/>
    <n v="3"/>
    <n v="159"/>
    <n v="225"/>
    <n v="30"/>
    <n v="255"/>
    <n v="112"/>
    <n v="466"/>
    <n v="112"/>
    <n v="87"/>
    <n v="30"/>
    <n v="4358"/>
    <n v="228"/>
    <m/>
    <n v="15"/>
    <n v="32"/>
    <m/>
    <n v="74"/>
    <m/>
    <n v="3"/>
    <n v="21"/>
    <n v="682"/>
    <n v="26"/>
    <n v="6433"/>
    <n v="160"/>
    <n v="104"/>
  </r>
  <r>
    <x v="6"/>
    <x v="4"/>
    <m/>
    <m/>
    <m/>
    <n v="185"/>
    <n v="27"/>
    <m/>
    <m/>
    <m/>
    <m/>
    <m/>
    <m/>
    <m/>
    <n v="46"/>
    <m/>
    <m/>
    <m/>
    <m/>
    <m/>
    <n v="10"/>
    <n v="8"/>
    <m/>
    <m/>
    <m/>
    <m/>
    <m/>
    <n v="53"/>
    <n v="39"/>
    <m/>
    <m/>
    <m/>
    <n v="41"/>
    <m/>
    <n v="19269"/>
    <m/>
    <m/>
    <m/>
    <n v="22"/>
    <m/>
    <m/>
    <m/>
    <m/>
    <m/>
    <n v="768"/>
    <m/>
    <m/>
    <n v="353"/>
    <n v="508"/>
  </r>
  <r>
    <x v="6"/>
    <x v="5"/>
    <m/>
    <m/>
    <m/>
    <n v="2"/>
    <n v="27"/>
    <n v="1"/>
    <m/>
    <m/>
    <m/>
    <m/>
    <m/>
    <m/>
    <n v="729"/>
    <m/>
    <m/>
    <m/>
    <m/>
    <m/>
    <n v="7"/>
    <n v="0"/>
    <m/>
    <m/>
    <m/>
    <m/>
    <m/>
    <n v="15"/>
    <n v="276"/>
    <m/>
    <m/>
    <m/>
    <m/>
    <m/>
    <n v="6165"/>
    <m/>
    <m/>
    <m/>
    <n v="2"/>
    <m/>
    <m/>
    <m/>
    <m/>
    <n v="4"/>
    <n v="89"/>
    <m/>
    <m/>
    <m/>
    <n v="14"/>
  </r>
  <r>
    <x v="6"/>
    <x v="6"/>
    <n v="2302"/>
    <n v="119"/>
    <n v="306"/>
    <n v="239"/>
    <n v="156"/>
    <n v="36"/>
    <n v="2495"/>
    <n v="14"/>
    <n v="1687"/>
    <n v="157"/>
    <n v="36"/>
    <n v="172"/>
    <n v="18807"/>
    <n v="451"/>
    <n v="10752"/>
    <n v="227"/>
    <n v="918"/>
    <n v="255"/>
    <n v="2"/>
    <n v="11"/>
    <n v="10"/>
    <n v="964"/>
    <n v="93"/>
    <n v="398"/>
    <n v="27"/>
    <n v="182"/>
    <n v="305"/>
    <n v="78"/>
    <n v="748"/>
    <n v="387"/>
    <n v="464"/>
    <n v="60"/>
    <n v="24668"/>
    <n v="886"/>
    <m/>
    <n v="156"/>
    <n v="360"/>
    <m/>
    <n v="281"/>
    <n v="124"/>
    <n v="269"/>
    <n v="213"/>
    <n v="1845"/>
    <n v="324"/>
    <m/>
    <n v="727"/>
    <n v="1397"/>
  </r>
  <r>
    <x v="6"/>
    <x v="7"/>
    <m/>
    <m/>
    <n v="45"/>
    <m/>
    <n v="435"/>
    <m/>
    <m/>
    <m/>
    <m/>
    <m/>
    <n v="19"/>
    <m/>
    <n v="880"/>
    <m/>
    <m/>
    <m/>
    <m/>
    <m/>
    <n v="76"/>
    <n v="18"/>
    <m/>
    <n v="1331"/>
    <m/>
    <m/>
    <m/>
    <m/>
    <n v="1887"/>
    <m/>
    <m/>
    <n v="234"/>
    <n v="226"/>
    <m/>
    <n v="5793"/>
    <m/>
    <m/>
    <m/>
    <m/>
    <m/>
    <m/>
    <m/>
    <m/>
    <n v="3"/>
    <m/>
    <m/>
    <m/>
    <n v="1132"/>
    <n v="1827"/>
  </r>
  <r>
    <x v="6"/>
    <x v="8"/>
    <m/>
    <m/>
    <n v="5086"/>
    <m/>
    <n v="10"/>
    <m/>
    <m/>
    <m/>
    <m/>
    <m/>
    <m/>
    <m/>
    <n v="365"/>
    <m/>
    <m/>
    <m/>
    <m/>
    <m/>
    <m/>
    <n v="0"/>
    <m/>
    <n v="21942"/>
    <m/>
    <m/>
    <m/>
    <m/>
    <m/>
    <m/>
    <m/>
    <m/>
    <n v="52"/>
    <m/>
    <m/>
    <m/>
    <m/>
    <m/>
    <m/>
    <m/>
    <m/>
    <m/>
    <m/>
    <n v="978"/>
    <m/>
    <m/>
    <m/>
    <n v="3616"/>
    <m/>
  </r>
  <r>
    <x v="6"/>
    <x v="9"/>
    <n v="98"/>
    <n v="1071"/>
    <n v="668"/>
    <n v="648"/>
    <n v="160"/>
    <n v="112"/>
    <m/>
    <n v="241"/>
    <n v="2934"/>
    <n v="320"/>
    <m/>
    <n v="65"/>
    <n v="136"/>
    <n v="549"/>
    <n v="10450"/>
    <n v="439"/>
    <n v="1563"/>
    <n v="181"/>
    <n v="138"/>
    <n v="53"/>
    <n v="2"/>
    <m/>
    <m/>
    <n v="205"/>
    <n v="306"/>
    <m/>
    <m/>
    <m/>
    <n v="291"/>
    <n v="542"/>
    <m/>
    <n v="432"/>
    <n v="26677"/>
    <n v="1990"/>
    <n v="328"/>
    <n v="311"/>
    <n v="272"/>
    <m/>
    <n v="370"/>
    <n v="71"/>
    <n v="749"/>
    <n v="460"/>
    <n v="4361"/>
    <n v="3874"/>
    <n v="5455"/>
    <n v="18"/>
    <n v="644"/>
  </r>
  <r>
    <x v="6"/>
    <x v="10"/>
    <m/>
    <m/>
    <n v="137"/>
    <m/>
    <n v="134"/>
    <m/>
    <m/>
    <m/>
    <m/>
    <m/>
    <m/>
    <m/>
    <n v="6245"/>
    <m/>
    <m/>
    <m/>
    <m/>
    <m/>
    <m/>
    <n v="17"/>
    <m/>
    <n v="430"/>
    <m/>
    <m/>
    <m/>
    <m/>
    <m/>
    <m/>
    <m/>
    <m/>
    <m/>
    <m/>
    <n v="2578"/>
    <n v="152"/>
    <m/>
    <m/>
    <m/>
    <m/>
    <m/>
    <m/>
    <m/>
    <n v="148"/>
    <m/>
    <m/>
    <n v="8878"/>
    <n v="761"/>
    <n v="480"/>
  </r>
  <r>
    <x v="6"/>
    <x v="11"/>
    <m/>
    <m/>
    <m/>
    <m/>
    <n v="318"/>
    <m/>
    <m/>
    <m/>
    <m/>
    <m/>
    <n v="8"/>
    <m/>
    <n v="15238"/>
    <m/>
    <m/>
    <m/>
    <m/>
    <m/>
    <m/>
    <n v="0"/>
    <m/>
    <m/>
    <m/>
    <m/>
    <m/>
    <m/>
    <m/>
    <m/>
    <m/>
    <m/>
    <n v="140"/>
    <m/>
    <n v="29246"/>
    <m/>
    <m/>
    <m/>
    <m/>
    <m/>
    <m/>
    <m/>
    <m/>
    <n v="183"/>
    <m/>
    <m/>
    <n v="5731"/>
    <n v="1712"/>
    <n v="1126"/>
  </r>
  <r>
    <x v="6"/>
    <x v="12"/>
    <m/>
    <m/>
    <n v="255"/>
    <m/>
    <m/>
    <m/>
    <m/>
    <m/>
    <m/>
    <m/>
    <m/>
    <m/>
    <n v="1258"/>
    <m/>
    <m/>
    <m/>
    <m/>
    <m/>
    <m/>
    <n v="1"/>
    <m/>
    <n v="1628"/>
    <m/>
    <m/>
    <m/>
    <m/>
    <m/>
    <n v="5"/>
    <m/>
    <m/>
    <n v="134"/>
    <m/>
    <m/>
    <m/>
    <m/>
    <m/>
    <m/>
    <m/>
    <m/>
    <m/>
    <m/>
    <n v="51"/>
    <m/>
    <m/>
    <n v="3831"/>
    <n v="2742"/>
    <n v="2305"/>
  </r>
  <r>
    <x v="6"/>
    <x v="13"/>
    <m/>
    <m/>
    <m/>
    <m/>
    <m/>
    <m/>
    <m/>
    <m/>
    <m/>
    <m/>
    <m/>
    <m/>
    <m/>
    <m/>
    <m/>
    <m/>
    <m/>
    <m/>
    <m/>
    <n v="0"/>
    <m/>
    <n v="3682"/>
    <m/>
    <m/>
    <m/>
    <m/>
    <m/>
    <m/>
    <m/>
    <m/>
    <m/>
    <m/>
    <m/>
    <m/>
    <m/>
    <m/>
    <m/>
    <m/>
    <m/>
    <m/>
    <m/>
    <n v="300"/>
    <m/>
    <m/>
    <m/>
    <m/>
    <m/>
  </r>
  <r>
    <x v="6"/>
    <x v="14"/>
    <n v="1680"/>
    <n v="11845"/>
    <m/>
    <m/>
    <m/>
    <n v="115"/>
    <n v="14556"/>
    <m/>
    <m/>
    <m/>
    <m/>
    <n v="117"/>
    <m/>
    <n v="243"/>
    <n v="37259"/>
    <m/>
    <n v="15820"/>
    <n v="16567"/>
    <n v="1553"/>
    <n v="3481"/>
    <m/>
    <n v="58079"/>
    <n v="3391"/>
    <n v="14508"/>
    <n v="35000"/>
    <n v="1152"/>
    <n v="4787"/>
    <m/>
    <n v="180"/>
    <n v="10016"/>
    <n v="2292"/>
    <m/>
    <n v="116454"/>
    <n v="45000"/>
    <n v="17417"/>
    <m/>
    <n v="1455"/>
    <m/>
    <n v="6324"/>
    <m/>
    <m/>
    <n v="7086"/>
    <m/>
    <m/>
    <n v="54180"/>
    <n v="1283"/>
    <n v="15888"/>
  </r>
  <r>
    <x v="6"/>
    <x v="15"/>
    <m/>
    <m/>
    <n v="58"/>
    <m/>
    <n v="42"/>
    <m/>
    <m/>
    <m/>
    <m/>
    <m/>
    <m/>
    <m/>
    <n v="1751"/>
    <m/>
    <m/>
    <m/>
    <m/>
    <m/>
    <m/>
    <n v="15"/>
    <m/>
    <m/>
    <m/>
    <m/>
    <m/>
    <m/>
    <n v="78"/>
    <m/>
    <m/>
    <m/>
    <n v="118"/>
    <m/>
    <n v="4793"/>
    <n v="225"/>
    <m/>
    <m/>
    <m/>
    <m/>
    <m/>
    <m/>
    <m/>
    <n v="160"/>
    <m/>
    <m/>
    <n v="7705"/>
    <n v="739"/>
    <n v="439"/>
  </r>
  <r>
    <x v="6"/>
    <x v="16"/>
    <m/>
    <m/>
    <m/>
    <m/>
    <n v="3"/>
    <m/>
    <m/>
    <m/>
    <m/>
    <m/>
    <m/>
    <m/>
    <m/>
    <m/>
    <m/>
    <m/>
    <m/>
    <m/>
    <m/>
    <n v="0"/>
    <m/>
    <n v="1147"/>
    <m/>
    <m/>
    <m/>
    <n v="6"/>
    <n v="620"/>
    <m/>
    <m/>
    <m/>
    <m/>
    <m/>
    <m/>
    <m/>
    <m/>
    <m/>
    <m/>
    <m/>
    <m/>
    <m/>
    <m/>
    <n v="3"/>
    <m/>
    <m/>
    <n v="230"/>
    <m/>
    <n v="56"/>
  </r>
  <r>
    <x v="6"/>
    <x v="17"/>
    <m/>
    <m/>
    <m/>
    <m/>
    <n v="9"/>
    <m/>
    <m/>
    <m/>
    <m/>
    <m/>
    <m/>
    <m/>
    <m/>
    <m/>
    <m/>
    <m/>
    <m/>
    <m/>
    <m/>
    <n v="0"/>
    <m/>
    <m/>
    <m/>
    <m/>
    <m/>
    <m/>
    <n v="3"/>
    <m/>
    <m/>
    <m/>
    <m/>
    <m/>
    <n v="56"/>
    <m/>
    <m/>
    <m/>
    <m/>
    <m/>
    <m/>
    <m/>
    <m/>
    <n v="25"/>
    <m/>
    <m/>
    <n v="3512"/>
    <m/>
    <m/>
  </r>
  <r>
    <x v="6"/>
    <x v="18"/>
    <m/>
    <m/>
    <m/>
    <m/>
    <n v="5"/>
    <m/>
    <m/>
    <m/>
    <m/>
    <m/>
    <m/>
    <m/>
    <n v="1533"/>
    <m/>
    <m/>
    <m/>
    <m/>
    <m/>
    <m/>
    <n v="1"/>
    <m/>
    <m/>
    <m/>
    <m/>
    <m/>
    <m/>
    <n v="150"/>
    <m/>
    <m/>
    <m/>
    <n v="84"/>
    <m/>
    <n v="4626"/>
    <n v="13"/>
    <m/>
    <m/>
    <m/>
    <m/>
    <m/>
    <m/>
    <m/>
    <n v="5"/>
    <m/>
    <m/>
    <n v="3848"/>
    <n v="16"/>
    <n v="20"/>
  </r>
  <r>
    <x v="6"/>
    <x v="19"/>
    <m/>
    <m/>
    <m/>
    <m/>
    <m/>
    <m/>
    <m/>
    <m/>
    <m/>
    <m/>
    <m/>
    <m/>
    <n v="107"/>
    <m/>
    <m/>
    <m/>
    <m/>
    <m/>
    <m/>
    <n v="0"/>
    <m/>
    <m/>
    <m/>
    <m/>
    <m/>
    <m/>
    <n v="28"/>
    <m/>
    <m/>
    <m/>
    <m/>
    <m/>
    <m/>
    <m/>
    <m/>
    <m/>
    <m/>
    <m/>
    <m/>
    <m/>
    <m/>
    <n v="51"/>
    <m/>
    <m/>
    <m/>
    <m/>
    <n v="26"/>
  </r>
  <r>
    <x v="6"/>
    <x v="20"/>
    <m/>
    <m/>
    <n v="102"/>
    <m/>
    <m/>
    <m/>
    <m/>
    <m/>
    <m/>
    <m/>
    <m/>
    <m/>
    <m/>
    <m/>
    <m/>
    <m/>
    <m/>
    <m/>
    <m/>
    <n v="53"/>
    <m/>
    <m/>
    <m/>
    <m/>
    <m/>
    <m/>
    <n v="338"/>
    <m/>
    <m/>
    <m/>
    <m/>
    <m/>
    <m/>
    <m/>
    <m/>
    <m/>
    <m/>
    <m/>
    <m/>
    <m/>
    <m/>
    <n v="20"/>
    <m/>
    <m/>
    <m/>
    <m/>
    <n v="12"/>
  </r>
  <r>
    <x v="6"/>
    <x v="21"/>
    <m/>
    <m/>
    <m/>
    <m/>
    <n v="16"/>
    <m/>
    <m/>
    <m/>
    <m/>
    <m/>
    <m/>
    <m/>
    <n v="4403"/>
    <m/>
    <m/>
    <m/>
    <m/>
    <m/>
    <m/>
    <n v="2"/>
    <m/>
    <m/>
    <m/>
    <m/>
    <m/>
    <m/>
    <n v="608"/>
    <m/>
    <m/>
    <m/>
    <m/>
    <m/>
    <m/>
    <n v="310"/>
    <m/>
    <m/>
    <m/>
    <m/>
    <m/>
    <m/>
    <m/>
    <n v="62"/>
    <m/>
    <m/>
    <n v="8565"/>
    <m/>
    <m/>
  </r>
  <r>
    <x v="7"/>
    <x v="0"/>
    <n v="0"/>
    <n v="0"/>
    <n v="1842"/>
    <n v="5397"/>
    <n v="1840"/>
    <n v="0"/>
    <n v="8346"/>
    <n v="0"/>
    <n v="30032"/>
    <n v="0"/>
    <n v="0"/>
    <n v="0"/>
    <n v="84280"/>
    <n v="576"/>
    <n v="11734"/>
    <n v="3587"/>
    <n v="6634"/>
    <n v="0"/>
    <n v="457"/>
    <n v="0"/>
    <n v="0"/>
    <n v="0"/>
    <n v="1508"/>
    <n v="0"/>
    <n v="0"/>
    <n v="0"/>
    <n v="5993"/>
    <n v="1794"/>
    <n v="6580"/>
    <n v="0"/>
    <n v="1931"/>
    <n v="1776"/>
    <n v="159688"/>
    <n v="2984"/>
    <n v="5952"/>
    <n v="538"/>
    <n v="747"/>
    <n v="213"/>
    <n v="0"/>
    <n v="479"/>
    <n v="1905"/>
    <n v="1651"/>
    <n v="0"/>
    <n v="0"/>
    <n v="92786"/>
    <n v="8772"/>
    <n v="0"/>
  </r>
  <r>
    <x v="7"/>
    <x v="1"/>
    <n v="0"/>
    <n v="15036"/>
    <n v="5340"/>
    <n v="22728"/>
    <n v="15526"/>
    <n v="0"/>
    <n v="22518"/>
    <n v="0"/>
    <n v="187928"/>
    <n v="0"/>
    <n v="0"/>
    <n v="0"/>
    <n v="8850"/>
    <n v="0"/>
    <n v="0"/>
    <n v="10179"/>
    <n v="139578"/>
    <n v="0"/>
    <n v="1498"/>
    <n v="0"/>
    <n v="0"/>
    <n v="0"/>
    <n v="3956"/>
    <n v="0"/>
    <n v="0"/>
    <n v="0"/>
    <n v="16358"/>
    <n v="8738"/>
    <n v="0"/>
    <n v="0"/>
    <n v="11806"/>
    <n v="0"/>
    <n v="361418"/>
    <n v="20818"/>
    <n v="14883"/>
    <n v="8622"/>
    <n v="7428"/>
    <n v="880"/>
    <n v="0"/>
    <n v="0"/>
    <n v="0"/>
    <n v="4268"/>
    <n v="0"/>
    <n v="0"/>
    <n v="129276"/>
    <n v="46070"/>
    <n v="0"/>
  </r>
  <r>
    <x v="7"/>
    <x v="2"/>
    <n v="0"/>
    <n v="248"/>
    <n v="1810"/>
    <n v="14954"/>
    <n v="0"/>
    <n v="0"/>
    <n v="11202"/>
    <n v="0"/>
    <n v="6298"/>
    <n v="0"/>
    <n v="0"/>
    <n v="0"/>
    <n v="18140"/>
    <n v="0"/>
    <n v="0"/>
    <n v="1214"/>
    <n v="25346"/>
    <n v="0"/>
    <n v="682"/>
    <n v="0"/>
    <n v="0"/>
    <n v="0"/>
    <n v="1534"/>
    <n v="0"/>
    <n v="0"/>
    <n v="0"/>
    <n v="12350"/>
    <n v="1864"/>
    <n v="0"/>
    <n v="0"/>
    <n v="10"/>
    <n v="0"/>
    <n v="241740"/>
    <n v="3122"/>
    <n v="5312"/>
    <n v="4746"/>
    <n v="4760"/>
    <n v="44"/>
    <n v="0"/>
    <n v="0"/>
    <n v="1178"/>
    <n v="3238"/>
    <n v="0"/>
    <n v="0"/>
    <n v="0"/>
    <n v="6446"/>
    <n v="0"/>
  </r>
  <r>
    <x v="7"/>
    <x v="3"/>
    <m/>
    <m/>
    <m/>
    <n v="52"/>
    <n v="88"/>
    <m/>
    <n v="373"/>
    <n v="300"/>
    <n v="422"/>
    <m/>
    <m/>
    <n v="120"/>
    <n v="7018"/>
    <m/>
    <n v="52"/>
    <n v="34"/>
    <m/>
    <m/>
    <n v="12"/>
    <m/>
    <m/>
    <n v="1300"/>
    <n v="4"/>
    <n v="37"/>
    <m/>
    <m/>
    <n v="288"/>
    <n v="118"/>
    <n v="351"/>
    <m/>
    <n v="117"/>
    <m/>
    <n v="4358"/>
    <m/>
    <n v="219"/>
    <n v="7"/>
    <n v="20"/>
    <n v="6"/>
    <n v="14"/>
    <n v="42"/>
    <m/>
    <m/>
    <m/>
    <n v="310"/>
    <n v="6365"/>
    <n v="180"/>
    <n v="248"/>
  </r>
  <r>
    <x v="7"/>
    <x v="4"/>
    <m/>
    <m/>
    <m/>
    <n v="143"/>
    <n v="27"/>
    <m/>
    <m/>
    <m/>
    <m/>
    <m/>
    <m/>
    <n v="74"/>
    <m/>
    <m/>
    <m/>
    <n v="32"/>
    <m/>
    <m/>
    <n v="6"/>
    <m/>
    <m/>
    <n v="464"/>
    <m/>
    <n v="47"/>
    <n v="21"/>
    <m/>
    <n v="305"/>
    <m/>
    <m/>
    <m/>
    <n v="43"/>
    <m/>
    <n v="6165"/>
    <m/>
    <n v="0"/>
    <n v="140"/>
    <n v="96"/>
    <m/>
    <n v="19"/>
    <n v="37"/>
    <n v="11"/>
    <n v="25"/>
    <m/>
    <n v="900"/>
    <m/>
    <n v="390"/>
    <n v="329"/>
  </r>
  <r>
    <x v="7"/>
    <x v="5"/>
    <m/>
    <m/>
    <m/>
    <m/>
    <n v="33"/>
    <m/>
    <n v="40"/>
    <m/>
    <m/>
    <m/>
    <m/>
    <n v="20"/>
    <m/>
    <m/>
    <m/>
    <n v="9"/>
    <m/>
    <m/>
    <n v="95"/>
    <m/>
    <m/>
    <n v="468"/>
    <m/>
    <n v="6"/>
    <n v="12"/>
    <m/>
    <n v="27"/>
    <m/>
    <n v="15"/>
    <m/>
    <n v="137"/>
    <m/>
    <m/>
    <m/>
    <n v="21"/>
    <n v="25"/>
    <m/>
    <m/>
    <n v="3"/>
    <n v="14"/>
    <m/>
    <n v="2"/>
    <m/>
    <n v="30"/>
    <m/>
    <m/>
    <n v="25"/>
  </r>
  <r>
    <x v="7"/>
    <x v="6"/>
    <m/>
    <m/>
    <m/>
    <n v="313"/>
    <n v="138"/>
    <m/>
    <n v="944"/>
    <m/>
    <n v="584"/>
    <m/>
    <m/>
    <m/>
    <n v="2156"/>
    <m/>
    <m/>
    <n v="140"/>
    <n v="1138"/>
    <m/>
    <n v="2"/>
    <m/>
    <m/>
    <m/>
    <n v="54"/>
    <m/>
    <m/>
    <m/>
    <n v="385"/>
    <n v="74"/>
    <m/>
    <m/>
    <n v="514"/>
    <m/>
    <n v="24668"/>
    <m/>
    <n v="188"/>
    <n v="164"/>
    <n v="98"/>
    <n v="37"/>
    <m/>
    <m/>
    <n v="52"/>
    <n v="222"/>
    <m/>
    <m/>
    <m/>
    <n v="856"/>
    <m/>
  </r>
  <r>
    <x v="7"/>
    <x v="7"/>
    <m/>
    <m/>
    <m/>
    <n v="192"/>
    <n v="408"/>
    <m/>
    <m/>
    <m/>
    <n v="188"/>
    <m/>
    <m/>
    <m/>
    <m/>
    <m/>
    <m/>
    <n v="179"/>
    <m/>
    <m/>
    <n v="81"/>
    <m/>
    <m/>
    <m/>
    <n v="201"/>
    <m/>
    <m/>
    <m/>
    <n v="2261"/>
    <m/>
    <m/>
    <m/>
    <n v="300"/>
    <m/>
    <n v="5793"/>
    <m/>
    <n v="45"/>
    <n v="213"/>
    <n v="253"/>
    <m/>
    <m/>
    <m/>
    <n v="136"/>
    <n v="32"/>
    <m/>
    <m/>
    <m/>
    <n v="1312"/>
    <m/>
  </r>
  <r>
    <x v="7"/>
    <x v="8"/>
    <m/>
    <m/>
    <m/>
    <m/>
    <n v="10"/>
    <m/>
    <m/>
    <m/>
    <m/>
    <m/>
    <m/>
    <m/>
    <n v="128823"/>
    <m/>
    <m/>
    <n v="703"/>
    <m/>
    <m/>
    <n v="0"/>
    <m/>
    <m/>
    <m/>
    <m/>
    <m/>
    <m/>
    <m/>
    <n v="6665"/>
    <m/>
    <m/>
    <m/>
    <n v="53"/>
    <m/>
    <m/>
    <m/>
    <n v="2352"/>
    <n v="319"/>
    <n v="580"/>
    <m/>
    <m/>
    <m/>
    <m/>
    <n v="817"/>
    <m/>
    <m/>
    <m/>
    <n v="4562"/>
    <m/>
  </r>
  <r>
    <x v="7"/>
    <x v="9"/>
    <m/>
    <m/>
    <m/>
    <n v="800"/>
    <n v="156"/>
    <m/>
    <m/>
    <m/>
    <m/>
    <m/>
    <m/>
    <m/>
    <m/>
    <m/>
    <m/>
    <n v="454"/>
    <m/>
    <m/>
    <n v="22"/>
    <m/>
    <m/>
    <m/>
    <m/>
    <m/>
    <m/>
    <m/>
    <n v="2055"/>
    <m/>
    <m/>
    <m/>
    <n v="503"/>
    <m/>
    <n v="26677"/>
    <m/>
    <n v="715"/>
    <m/>
    <n v="485"/>
    <m/>
    <m/>
    <m/>
    <m/>
    <n v="518"/>
    <m/>
    <m/>
    <n v="9939"/>
    <n v="18"/>
    <m/>
  </r>
  <r>
    <x v="7"/>
    <x v="10"/>
    <m/>
    <m/>
    <n v="92"/>
    <n v="191"/>
    <n v="116"/>
    <m/>
    <m/>
    <m/>
    <m/>
    <m/>
    <m/>
    <m/>
    <m/>
    <m/>
    <m/>
    <n v="78"/>
    <m/>
    <m/>
    <n v="149"/>
    <m/>
    <m/>
    <m/>
    <m/>
    <m/>
    <m/>
    <m/>
    <n v="315"/>
    <m/>
    <m/>
    <m/>
    <n v="291"/>
    <m/>
    <n v="369"/>
    <m/>
    <n v="124"/>
    <n v="36"/>
    <n v="13"/>
    <m/>
    <m/>
    <m/>
    <n v="48"/>
    <n v="139"/>
    <m/>
    <m/>
    <m/>
    <n v="929"/>
    <m/>
  </r>
  <r>
    <x v="7"/>
    <x v="11"/>
    <m/>
    <m/>
    <m/>
    <m/>
    <n v="330"/>
    <m/>
    <m/>
    <m/>
    <m/>
    <m/>
    <m/>
    <m/>
    <m/>
    <m/>
    <m/>
    <n v="72"/>
    <m/>
    <m/>
    <n v="0"/>
    <m/>
    <m/>
    <m/>
    <m/>
    <m/>
    <m/>
    <m/>
    <m/>
    <m/>
    <m/>
    <m/>
    <m/>
    <m/>
    <n v="29803"/>
    <m/>
    <m/>
    <n v="342"/>
    <m/>
    <m/>
    <m/>
    <m/>
    <m/>
    <n v="195"/>
    <m/>
    <m/>
    <m/>
    <n v="2045"/>
    <m/>
  </r>
  <r>
    <x v="7"/>
    <x v="12"/>
    <m/>
    <m/>
    <m/>
    <n v="222"/>
    <m/>
    <m/>
    <m/>
    <m/>
    <n v="166"/>
    <m/>
    <m/>
    <m/>
    <m/>
    <m/>
    <m/>
    <n v="201"/>
    <m/>
    <m/>
    <n v="43"/>
    <m/>
    <m/>
    <m/>
    <m/>
    <m/>
    <m/>
    <m/>
    <m/>
    <m/>
    <m/>
    <m/>
    <n v="148"/>
    <m/>
    <n v="14743"/>
    <m/>
    <n v="835"/>
    <n v="121"/>
    <n v="8"/>
    <m/>
    <m/>
    <m/>
    <n v="96"/>
    <n v="21"/>
    <m/>
    <m/>
    <n v="3881"/>
    <n v="3207"/>
    <m/>
  </r>
  <r>
    <x v="7"/>
    <x v="13"/>
    <m/>
    <m/>
    <m/>
    <n v="1348"/>
    <m/>
    <m/>
    <m/>
    <m/>
    <m/>
    <m/>
    <m/>
    <m/>
    <m/>
    <m/>
    <m/>
    <n v="7"/>
    <m/>
    <m/>
    <n v="106"/>
    <m/>
    <m/>
    <m/>
    <m/>
    <m/>
    <m/>
    <m/>
    <m/>
    <m/>
    <m/>
    <m/>
    <m/>
    <m/>
    <m/>
    <m/>
    <m/>
    <m/>
    <m/>
    <m/>
    <m/>
    <m/>
    <m/>
    <n v="332"/>
    <m/>
    <m/>
    <m/>
    <m/>
    <m/>
  </r>
  <r>
    <x v="7"/>
    <x v="14"/>
    <m/>
    <m/>
    <m/>
    <n v="2979"/>
    <m/>
    <m/>
    <m/>
    <m/>
    <m/>
    <m/>
    <m/>
    <m/>
    <m/>
    <m/>
    <m/>
    <n v="117"/>
    <m/>
    <m/>
    <n v="0"/>
    <m/>
    <m/>
    <m/>
    <m/>
    <m/>
    <n v="38338"/>
    <m/>
    <n v="6632"/>
    <m/>
    <m/>
    <m/>
    <m/>
    <m/>
    <n v="116454"/>
    <m/>
    <n v="1116"/>
    <n v="15000"/>
    <n v="850"/>
    <m/>
    <m/>
    <m/>
    <m/>
    <m/>
    <m/>
    <n v="179000"/>
    <m/>
    <n v="1846"/>
    <m/>
  </r>
  <r>
    <x v="7"/>
    <x v="15"/>
    <m/>
    <m/>
    <m/>
    <m/>
    <n v="38"/>
    <m/>
    <m/>
    <m/>
    <n v="496"/>
    <m/>
    <m/>
    <m/>
    <m/>
    <m/>
    <m/>
    <n v="29"/>
    <m/>
    <m/>
    <n v="3"/>
    <m/>
    <m/>
    <m/>
    <m/>
    <m/>
    <m/>
    <m/>
    <n v="93"/>
    <m/>
    <m/>
    <m/>
    <n v="123"/>
    <m/>
    <n v="4971"/>
    <m/>
    <m/>
    <n v="8"/>
    <n v="11"/>
    <m/>
    <m/>
    <m/>
    <n v="18"/>
    <n v="117"/>
    <m/>
    <m/>
    <n v="7908"/>
    <n v="864"/>
    <m/>
  </r>
  <r>
    <x v="7"/>
    <x v="16"/>
    <m/>
    <m/>
    <m/>
    <n v="21"/>
    <n v="3"/>
    <m/>
    <m/>
    <m/>
    <n v="668"/>
    <m/>
    <m/>
    <m/>
    <m/>
    <m/>
    <m/>
    <n v="3"/>
    <m/>
    <m/>
    <n v="0"/>
    <m/>
    <m/>
    <m/>
    <m/>
    <m/>
    <m/>
    <m/>
    <n v="745"/>
    <m/>
    <m/>
    <m/>
    <m/>
    <m/>
    <m/>
    <m/>
    <n v="3"/>
    <n v="130"/>
    <n v="168"/>
    <m/>
    <m/>
    <m/>
    <n v="42"/>
    <n v="5"/>
    <m/>
    <m/>
    <n v="226"/>
    <m/>
    <m/>
  </r>
  <r>
    <x v="7"/>
    <x v="17"/>
    <m/>
    <m/>
    <m/>
    <m/>
    <n v="8"/>
    <m/>
    <m/>
    <m/>
    <m/>
    <m/>
    <m/>
    <m/>
    <m/>
    <m/>
    <m/>
    <n v="1"/>
    <m/>
    <m/>
    <n v="0"/>
    <m/>
    <m/>
    <m/>
    <m/>
    <m/>
    <m/>
    <m/>
    <n v="2"/>
    <m/>
    <m/>
    <m/>
    <m/>
    <m/>
    <n v="79"/>
    <m/>
    <n v="2"/>
    <m/>
    <n v="0"/>
    <m/>
    <m/>
    <m/>
    <m/>
    <n v="35"/>
    <m/>
    <m/>
    <n v="3676"/>
    <m/>
    <m/>
  </r>
  <r>
    <x v="7"/>
    <x v="18"/>
    <m/>
    <m/>
    <m/>
    <m/>
    <n v="3"/>
    <m/>
    <m/>
    <m/>
    <m/>
    <m/>
    <m/>
    <m/>
    <m/>
    <m/>
    <m/>
    <n v="9"/>
    <m/>
    <m/>
    <n v="16"/>
    <m/>
    <m/>
    <m/>
    <m/>
    <m/>
    <m/>
    <m/>
    <n v="165"/>
    <m/>
    <m/>
    <m/>
    <n v="99"/>
    <m/>
    <n v="4429"/>
    <m/>
    <n v="1"/>
    <n v="15"/>
    <n v="13"/>
    <m/>
    <m/>
    <m/>
    <n v="50"/>
    <n v="4"/>
    <m/>
    <m/>
    <n v="3830"/>
    <m/>
    <m/>
  </r>
  <r>
    <x v="7"/>
    <x v="19"/>
    <m/>
    <m/>
    <m/>
    <n v="143"/>
    <m/>
    <m/>
    <m/>
    <m/>
    <m/>
    <m/>
    <m/>
    <m/>
    <m/>
    <m/>
    <m/>
    <n v="0"/>
    <m/>
    <m/>
    <n v="0"/>
    <m/>
    <m/>
    <m/>
    <m/>
    <m/>
    <m/>
    <m/>
    <n v="27"/>
    <m/>
    <m/>
    <m/>
    <m/>
    <m/>
    <n v="7"/>
    <m/>
    <n v="1"/>
    <m/>
    <m/>
    <m/>
    <m/>
    <m/>
    <m/>
    <n v="14"/>
    <m/>
    <m/>
    <m/>
    <m/>
    <m/>
  </r>
  <r>
    <x v="7"/>
    <x v="20"/>
    <m/>
    <m/>
    <m/>
    <n v="28"/>
    <m/>
    <m/>
    <m/>
    <m/>
    <m/>
    <m/>
    <m/>
    <m/>
    <m/>
    <m/>
    <m/>
    <n v="109"/>
    <m/>
    <m/>
    <n v="0"/>
    <m/>
    <m/>
    <m/>
    <m/>
    <m/>
    <m/>
    <m/>
    <n v="414"/>
    <m/>
    <m/>
    <m/>
    <m/>
    <m/>
    <m/>
    <m/>
    <n v="402"/>
    <m/>
    <m/>
    <m/>
    <m/>
    <m/>
    <m/>
    <n v="21"/>
    <m/>
    <m/>
    <m/>
    <m/>
    <m/>
  </r>
  <r>
    <x v="7"/>
    <x v="21"/>
    <m/>
    <m/>
    <m/>
    <n v="8"/>
    <n v="15"/>
    <m/>
    <m/>
    <m/>
    <m/>
    <m/>
    <m/>
    <m/>
    <m/>
    <m/>
    <m/>
    <n v="85"/>
    <m/>
    <m/>
    <n v="0"/>
    <m/>
    <m/>
    <m/>
    <m/>
    <m/>
    <m/>
    <m/>
    <n v="393"/>
    <m/>
    <m/>
    <m/>
    <m/>
    <m/>
    <n v="267"/>
    <m/>
    <n v="16"/>
    <m/>
    <m/>
    <m/>
    <m/>
    <m/>
    <m/>
    <n v="61"/>
    <m/>
    <m/>
    <n v="8742"/>
    <m/>
    <m/>
  </r>
  <r>
    <x v="8"/>
    <x v="0"/>
    <n v="0"/>
    <n v="1704"/>
    <n v="0"/>
    <n v="4360"/>
    <n v="2048"/>
    <n v="0"/>
    <n v="8870"/>
    <n v="5930"/>
    <n v="0"/>
    <n v="0"/>
    <n v="708"/>
    <n v="0"/>
    <n v="0"/>
    <n v="662"/>
    <n v="27155"/>
    <n v="3559"/>
    <n v="10570"/>
    <n v="0"/>
    <n v="466"/>
    <n v="781"/>
    <n v="0"/>
    <n v="0"/>
    <n v="1611"/>
    <n v="0"/>
    <n v="0"/>
    <n v="0"/>
    <n v="6064"/>
    <n v="1868"/>
    <n v="7101"/>
    <n v="2265"/>
    <n v="2230"/>
    <n v="1670"/>
    <n v="0"/>
    <n v="0"/>
    <n v="3606"/>
    <n v="1152"/>
    <n v="995"/>
    <n v="0"/>
    <n v="330"/>
    <n v="0"/>
    <n v="2023"/>
    <n v="1619"/>
    <n v="0"/>
    <n v="14062"/>
    <n v="0"/>
    <n v="9636"/>
    <n v="5914"/>
  </r>
  <r>
    <x v="8"/>
    <x v="1"/>
    <n v="0"/>
    <n v="15426"/>
    <n v="0"/>
    <n v="23748"/>
    <n v="15542"/>
    <n v="0"/>
    <n v="26792"/>
    <n v="23436"/>
    <n v="0"/>
    <n v="0"/>
    <n v="1366"/>
    <n v="0"/>
    <n v="0"/>
    <n v="0"/>
    <n v="139648"/>
    <n v="10963"/>
    <n v="191578"/>
    <n v="0"/>
    <n v="2458"/>
    <n v="2782"/>
    <n v="0"/>
    <n v="0"/>
    <n v="4832"/>
    <n v="0"/>
    <n v="0"/>
    <n v="0"/>
    <n v="17662"/>
    <n v="8580"/>
    <n v="0"/>
    <n v="32965"/>
    <n v="12880"/>
    <n v="0"/>
    <n v="0"/>
    <n v="0"/>
    <n v="7600"/>
    <n v="2080"/>
    <n v="9060"/>
    <n v="0"/>
    <n v="6881"/>
    <n v="0"/>
    <n v="5246"/>
    <n v="4910"/>
    <n v="0"/>
    <n v="102654"/>
    <n v="122056"/>
    <n v="55348"/>
    <n v="44998"/>
  </r>
  <r>
    <x v="8"/>
    <x v="2"/>
    <n v="0"/>
    <n v="0"/>
    <n v="0"/>
    <n v="15608"/>
    <n v="0"/>
    <n v="0"/>
    <n v="12690"/>
    <n v="2516"/>
    <n v="0"/>
    <n v="0"/>
    <n v="1172"/>
    <n v="0"/>
    <n v="0"/>
    <n v="0"/>
    <n v="40710"/>
    <n v="1324"/>
    <n v="33400"/>
    <n v="0"/>
    <n v="1080"/>
    <n v="370"/>
    <n v="0"/>
    <n v="0"/>
    <n v="1744"/>
    <n v="0"/>
    <n v="0"/>
    <n v="0"/>
    <n v="12648"/>
    <n v="2054"/>
    <n v="0"/>
    <n v="0"/>
    <n v="10"/>
    <n v="0"/>
    <n v="0"/>
    <n v="0"/>
    <n v="4122"/>
    <n v="1278"/>
    <n v="6040"/>
    <n v="0"/>
    <n v="0"/>
    <n v="0"/>
    <n v="1420"/>
    <n v="3486"/>
    <n v="0"/>
    <n v="47092"/>
    <n v="0"/>
    <n v="6624"/>
    <n v="18586"/>
  </r>
  <r>
    <x v="8"/>
    <x v="3"/>
    <m/>
    <m/>
    <m/>
    <n v="103"/>
    <n v="89"/>
    <m/>
    <n v="397"/>
    <n v="179"/>
    <m/>
    <m/>
    <n v="32"/>
    <m/>
    <m/>
    <m/>
    <n v="228"/>
    <n v="34"/>
    <m/>
    <m/>
    <n v="8"/>
    <n v="5"/>
    <m/>
    <m/>
    <n v="6"/>
    <m/>
    <m/>
    <m/>
    <n v="277"/>
    <n v="117"/>
    <m/>
    <n v="149"/>
    <n v="138"/>
    <m/>
    <m/>
    <m/>
    <n v="134"/>
    <n v="15"/>
    <n v="28"/>
    <m/>
    <n v="22"/>
    <m/>
    <m/>
    <m/>
    <m/>
    <n v="255"/>
    <m/>
    <n v="205"/>
    <n v="234"/>
  </r>
  <r>
    <x v="8"/>
    <x v="4"/>
    <m/>
    <m/>
    <m/>
    <n v="172"/>
    <n v="28"/>
    <m/>
    <m/>
    <n v="45"/>
    <m/>
    <m/>
    <m/>
    <m/>
    <m/>
    <m/>
    <n v="110"/>
    <n v="32"/>
    <m/>
    <m/>
    <n v="17"/>
    <n v="0"/>
    <m/>
    <m/>
    <m/>
    <m/>
    <m/>
    <m/>
    <n v="318"/>
    <m/>
    <m/>
    <n v="204"/>
    <n v="43"/>
    <m/>
    <m/>
    <m/>
    <m/>
    <n v="66"/>
    <n v="128"/>
    <m/>
    <n v="28"/>
    <m/>
    <m/>
    <m/>
    <m/>
    <m/>
    <m/>
    <n v="453"/>
    <m/>
  </r>
  <r>
    <x v="8"/>
    <x v="5"/>
    <m/>
    <m/>
    <m/>
    <m/>
    <n v="33"/>
    <m/>
    <m/>
    <n v="12"/>
    <m/>
    <m/>
    <m/>
    <m/>
    <m/>
    <m/>
    <m/>
    <n v="9"/>
    <m/>
    <m/>
    <n v="4"/>
    <n v="8"/>
    <m/>
    <m/>
    <m/>
    <m/>
    <m/>
    <m/>
    <m/>
    <m/>
    <m/>
    <n v="0"/>
    <m/>
    <m/>
    <m/>
    <m/>
    <n v="13"/>
    <n v="530"/>
    <m/>
    <m/>
    <m/>
    <m/>
    <m/>
    <n v="2"/>
    <m/>
    <m/>
    <m/>
    <m/>
    <m/>
  </r>
  <r>
    <x v="8"/>
    <x v="6"/>
    <m/>
    <m/>
    <m/>
    <n v="718"/>
    <n v="145"/>
    <m/>
    <n v="1029"/>
    <n v="337"/>
    <m/>
    <m/>
    <n v="35"/>
    <m/>
    <m/>
    <m/>
    <n v="5394"/>
    <n v="139"/>
    <n v="1388"/>
    <m/>
    <n v="0"/>
    <n v="13"/>
    <m/>
    <m/>
    <n v="127"/>
    <m/>
    <m/>
    <m/>
    <n v="423"/>
    <n v="76"/>
    <m/>
    <n v="151"/>
    <n v="546"/>
    <m/>
    <m/>
    <m/>
    <n v="212"/>
    <n v="193"/>
    <n v="139"/>
    <m/>
    <n v="48"/>
    <m/>
    <n v="54"/>
    <n v="232"/>
    <m/>
    <n v="1717"/>
    <m/>
    <n v="1082"/>
    <n v="1600"/>
  </r>
  <r>
    <x v="8"/>
    <x v="7"/>
    <m/>
    <m/>
    <m/>
    <n v="203"/>
    <n v="435"/>
    <m/>
    <m/>
    <n v="54"/>
    <m/>
    <m/>
    <n v="71"/>
    <m/>
    <m/>
    <m/>
    <n v="10104"/>
    <n v="179"/>
    <m/>
    <m/>
    <n v="81"/>
    <n v="73"/>
    <m/>
    <m/>
    <n v="486"/>
    <m/>
    <m/>
    <m/>
    <n v="2358"/>
    <m/>
    <m/>
    <n v="600"/>
    <n v="338"/>
    <m/>
    <m/>
    <m/>
    <n v="48"/>
    <n v="332"/>
    <n v="291"/>
    <m/>
    <n v="80"/>
    <m/>
    <m/>
    <n v="49"/>
    <m/>
    <m/>
    <m/>
    <n v="1544"/>
    <m/>
  </r>
  <r>
    <x v="8"/>
    <x v="8"/>
    <m/>
    <m/>
    <m/>
    <m/>
    <n v="10"/>
    <m/>
    <n v="3734"/>
    <n v="2098"/>
    <m/>
    <m/>
    <m/>
    <m/>
    <m/>
    <m/>
    <n v="1234"/>
    <n v="615"/>
    <m/>
    <m/>
    <n v="0"/>
    <n v="2"/>
    <m/>
    <m/>
    <m/>
    <m/>
    <m/>
    <m/>
    <m/>
    <m/>
    <m/>
    <n v="0"/>
    <n v="54"/>
    <m/>
    <m/>
    <m/>
    <n v="662"/>
    <n v="650"/>
    <n v="623"/>
    <m/>
    <m/>
    <m/>
    <m/>
    <m/>
    <m/>
    <m/>
    <m/>
    <n v="5544"/>
    <m/>
  </r>
  <r>
    <x v="8"/>
    <x v="9"/>
    <m/>
    <m/>
    <m/>
    <n v="906"/>
    <n v="167"/>
    <m/>
    <m/>
    <n v="112"/>
    <m/>
    <m/>
    <m/>
    <m/>
    <m/>
    <m/>
    <n v="8005"/>
    <n v="469"/>
    <m/>
    <m/>
    <n v="13"/>
    <n v="285"/>
    <m/>
    <m/>
    <m/>
    <m/>
    <m/>
    <m/>
    <n v="2041"/>
    <m/>
    <m/>
    <n v="743"/>
    <n v="99"/>
    <m/>
    <m/>
    <m/>
    <n v="101"/>
    <n v="114"/>
    <n v="635"/>
    <m/>
    <m/>
    <m/>
    <m/>
    <n v="589"/>
    <m/>
    <m/>
    <m/>
    <n v="19"/>
    <m/>
  </r>
  <r>
    <x v="8"/>
    <x v="10"/>
    <m/>
    <m/>
    <m/>
    <n v="274"/>
    <n v="117"/>
    <m/>
    <m/>
    <n v="73"/>
    <m/>
    <m/>
    <n v="25"/>
    <m/>
    <m/>
    <m/>
    <m/>
    <n v="82"/>
    <m/>
    <m/>
    <n v="173"/>
    <n v="3"/>
    <m/>
    <m/>
    <m/>
    <m/>
    <m/>
    <m/>
    <n v="301"/>
    <m/>
    <m/>
    <n v="0"/>
    <m/>
    <m/>
    <m/>
    <m/>
    <n v="121"/>
    <m/>
    <n v="16"/>
    <m/>
    <n v="53"/>
    <m/>
    <m/>
    <n v="280"/>
    <m/>
    <m/>
    <m/>
    <n v="1075"/>
    <m/>
  </r>
  <r>
    <x v="8"/>
    <x v="11"/>
    <m/>
    <m/>
    <m/>
    <m/>
    <n v="338"/>
    <m/>
    <m/>
    <n v="48"/>
    <m/>
    <m/>
    <n v="16"/>
    <m/>
    <m/>
    <m/>
    <n v="4752"/>
    <n v="74"/>
    <m/>
    <m/>
    <n v="0"/>
    <n v="1"/>
    <m/>
    <m/>
    <m/>
    <m/>
    <m/>
    <m/>
    <m/>
    <m/>
    <m/>
    <n v="282"/>
    <n v="99"/>
    <m/>
    <m/>
    <m/>
    <n v="323"/>
    <m/>
    <m/>
    <m/>
    <m/>
    <m/>
    <m/>
    <n v="338"/>
    <m/>
    <m/>
    <m/>
    <n v="2506"/>
    <m/>
  </r>
  <r>
    <x v="8"/>
    <x v="12"/>
    <m/>
    <m/>
    <m/>
    <n v="275"/>
    <m/>
    <m/>
    <m/>
    <n v="194"/>
    <m/>
    <m/>
    <m/>
    <m/>
    <m/>
    <m/>
    <n v="2378"/>
    <n v="198"/>
    <m/>
    <m/>
    <n v="67"/>
    <n v="2"/>
    <m/>
    <m/>
    <m/>
    <m/>
    <m/>
    <m/>
    <m/>
    <m/>
    <m/>
    <n v="196"/>
    <n v="177"/>
    <m/>
    <m/>
    <m/>
    <n v="411"/>
    <n v="219"/>
    <n v="10"/>
    <m/>
    <n v="79"/>
    <m/>
    <m/>
    <n v="379"/>
    <m/>
    <m/>
    <m/>
    <n v="3830"/>
    <m/>
  </r>
  <r>
    <x v="8"/>
    <x v="13"/>
    <m/>
    <m/>
    <m/>
    <m/>
    <m/>
    <m/>
    <m/>
    <n v="5"/>
    <m/>
    <m/>
    <m/>
    <m/>
    <m/>
    <m/>
    <n v="508"/>
    <n v="7"/>
    <m/>
    <m/>
    <n v="237"/>
    <n v="18"/>
    <m/>
    <m/>
    <m/>
    <m/>
    <m/>
    <m/>
    <m/>
    <m/>
    <m/>
    <n v="321"/>
    <m/>
    <m/>
    <m/>
    <m/>
    <m/>
    <n v="17"/>
    <m/>
    <m/>
    <n v="63"/>
    <m/>
    <m/>
    <n v="50"/>
    <m/>
    <m/>
    <m/>
    <m/>
    <m/>
  </r>
  <r>
    <x v="8"/>
    <x v="14"/>
    <n v="2652"/>
    <n v="11845"/>
    <m/>
    <n v="2923"/>
    <m/>
    <m/>
    <m/>
    <n v="154"/>
    <m/>
    <m/>
    <m/>
    <m/>
    <m/>
    <n v="6000"/>
    <n v="42630"/>
    <n v="110"/>
    <m/>
    <m/>
    <n v="0"/>
    <n v="3711"/>
    <m/>
    <n v="91653"/>
    <n v="12625"/>
    <m/>
    <n v="41616"/>
    <n v="3303"/>
    <n v="6696"/>
    <m/>
    <n v="163"/>
    <n v="0"/>
    <m/>
    <n v="21429"/>
    <m/>
    <n v="58567"/>
    <m/>
    <n v="13966"/>
    <n v="2826"/>
    <m/>
    <n v="5386"/>
    <m/>
    <n v="592"/>
    <n v="7386"/>
    <m/>
    <m/>
    <m/>
    <n v="41669"/>
    <m/>
  </r>
  <r>
    <x v="8"/>
    <x v="15"/>
    <m/>
    <m/>
    <m/>
    <n v="22"/>
    <n v="66"/>
    <m/>
    <m/>
    <n v="5"/>
    <m/>
    <m/>
    <m/>
    <m/>
    <m/>
    <m/>
    <n v="240"/>
    <n v="17"/>
    <m/>
    <m/>
    <n v="7"/>
    <n v="4"/>
    <m/>
    <m/>
    <m/>
    <m/>
    <m/>
    <m/>
    <n v="108"/>
    <m/>
    <m/>
    <n v="152"/>
    <n v="134"/>
    <m/>
    <m/>
    <m/>
    <n v="1"/>
    <n v="6"/>
    <m/>
    <m/>
    <n v="10"/>
    <m/>
    <m/>
    <n v="230"/>
    <m/>
    <m/>
    <m/>
    <n v="1036"/>
    <m/>
  </r>
  <r>
    <x v="8"/>
    <x v="16"/>
    <m/>
    <m/>
    <m/>
    <n v="31"/>
    <n v="3"/>
    <m/>
    <m/>
    <n v="17"/>
    <m/>
    <m/>
    <m/>
    <m/>
    <m/>
    <m/>
    <n v="688"/>
    <n v="3"/>
    <m/>
    <m/>
    <n v="0"/>
    <n v="4"/>
    <m/>
    <m/>
    <m/>
    <m/>
    <m/>
    <m/>
    <n v="870"/>
    <m/>
    <m/>
    <n v="54"/>
    <m/>
    <m/>
    <m/>
    <m/>
    <n v="2"/>
    <n v="57"/>
    <n v="197"/>
    <m/>
    <n v="9"/>
    <m/>
    <n v="1"/>
    <n v="7"/>
    <m/>
    <m/>
    <m/>
    <m/>
    <m/>
  </r>
  <r>
    <x v="8"/>
    <x v="17"/>
    <m/>
    <m/>
    <m/>
    <m/>
    <n v="7"/>
    <m/>
    <m/>
    <n v="2"/>
    <m/>
    <m/>
    <m/>
    <m/>
    <m/>
    <m/>
    <n v="4"/>
    <n v="0"/>
    <m/>
    <m/>
    <n v="0"/>
    <m/>
    <m/>
    <m/>
    <m/>
    <m/>
    <m/>
    <m/>
    <m/>
    <m/>
    <m/>
    <n v="0"/>
    <m/>
    <m/>
    <m/>
    <m/>
    <n v="1"/>
    <m/>
    <m/>
    <m/>
    <n v="7"/>
    <m/>
    <m/>
    <n v="83"/>
    <m/>
    <m/>
    <m/>
    <m/>
    <m/>
  </r>
  <r>
    <x v="8"/>
    <x v="18"/>
    <m/>
    <m/>
    <m/>
    <n v="3"/>
    <n v="3"/>
    <m/>
    <m/>
    <n v="207"/>
    <m/>
    <m/>
    <m/>
    <m/>
    <m/>
    <m/>
    <n v="654"/>
    <n v="9"/>
    <m/>
    <m/>
    <n v="20"/>
    <n v="9"/>
    <m/>
    <m/>
    <m/>
    <m/>
    <m/>
    <m/>
    <n v="156"/>
    <m/>
    <m/>
    <n v="91"/>
    <n v="95"/>
    <m/>
    <m/>
    <m/>
    <m/>
    <n v="1"/>
    <n v="24"/>
    <m/>
    <n v="6"/>
    <m/>
    <n v="1"/>
    <n v="3"/>
    <m/>
    <m/>
    <m/>
    <m/>
    <m/>
  </r>
  <r>
    <x v="8"/>
    <x v="19"/>
    <m/>
    <m/>
    <m/>
    <m/>
    <m/>
    <m/>
    <m/>
    <n v="19"/>
    <m/>
    <m/>
    <m/>
    <m/>
    <m/>
    <m/>
    <n v="22"/>
    <n v="0"/>
    <m/>
    <m/>
    <n v="0"/>
    <m/>
    <m/>
    <m/>
    <m/>
    <m/>
    <m/>
    <m/>
    <m/>
    <m/>
    <m/>
    <n v="0"/>
    <m/>
    <m/>
    <m/>
    <m/>
    <m/>
    <m/>
    <m/>
    <m/>
    <m/>
    <m/>
    <m/>
    <n v="6"/>
    <m/>
    <m/>
    <m/>
    <m/>
    <m/>
  </r>
  <r>
    <x v="8"/>
    <x v="20"/>
    <m/>
    <m/>
    <m/>
    <m/>
    <m/>
    <m/>
    <m/>
    <n v="48"/>
    <m/>
    <m/>
    <m/>
    <m/>
    <m/>
    <m/>
    <m/>
    <n v="106"/>
    <m/>
    <m/>
    <n v="0"/>
    <m/>
    <m/>
    <m/>
    <m/>
    <m/>
    <m/>
    <m/>
    <n v="154"/>
    <m/>
    <m/>
    <n v="0"/>
    <m/>
    <m/>
    <m/>
    <m/>
    <n v="491"/>
    <m/>
    <m/>
    <m/>
    <n v="22"/>
    <m/>
    <m/>
    <n v="21"/>
    <m/>
    <m/>
    <m/>
    <m/>
    <m/>
  </r>
  <r>
    <x v="8"/>
    <x v="21"/>
    <m/>
    <m/>
    <m/>
    <n v="8"/>
    <n v="13"/>
    <m/>
    <m/>
    <n v="6"/>
    <m/>
    <m/>
    <m/>
    <m/>
    <m/>
    <m/>
    <m/>
    <n v="86"/>
    <m/>
    <m/>
    <n v="0"/>
    <n v="11"/>
    <m/>
    <m/>
    <m/>
    <m/>
    <m/>
    <m/>
    <n v="530"/>
    <m/>
    <m/>
    <n v="0"/>
    <m/>
    <m/>
    <m/>
    <m/>
    <n v="2"/>
    <m/>
    <m/>
    <m/>
    <n v="12"/>
    <m/>
    <m/>
    <n v="65"/>
    <m/>
    <m/>
    <m/>
    <m/>
    <m/>
  </r>
  <r>
    <x v="9"/>
    <x v="0"/>
    <n v="0"/>
    <n v="1816"/>
    <n v="5861"/>
    <n v="4684"/>
    <n v="2028"/>
    <n v="561"/>
    <n v="9902"/>
    <n v="7653"/>
    <n v="33978"/>
    <n v="0"/>
    <n v="0"/>
    <n v="0"/>
    <n v="0"/>
    <n v="636"/>
    <n v="25424"/>
    <n v="0"/>
    <n v="8338"/>
    <n v="0"/>
    <n v="651"/>
    <n v="916"/>
    <n v="0"/>
    <n v="12377"/>
    <n v="1861"/>
    <n v="0"/>
    <n v="0"/>
    <n v="0"/>
    <n v="6016"/>
    <n v="2070"/>
    <n v="0"/>
    <n v="0"/>
    <n v="2549"/>
    <n v="0"/>
    <n v="168695"/>
    <n v="0"/>
    <n v="4634"/>
    <n v="0"/>
    <n v="0"/>
    <n v="0"/>
    <n v="0"/>
    <n v="0"/>
    <n v="2260"/>
    <n v="1369"/>
    <n v="0"/>
    <n v="0"/>
    <n v="99093"/>
    <n v="11546"/>
    <n v="0"/>
  </r>
  <r>
    <x v="9"/>
    <x v="1"/>
    <n v="0"/>
    <n v="18744"/>
    <n v="10968"/>
    <n v="24378"/>
    <n v="15772"/>
    <n v="1010"/>
    <n v="25774"/>
    <n v="9254"/>
    <n v="203504"/>
    <n v="0"/>
    <n v="0"/>
    <n v="0"/>
    <n v="0"/>
    <n v="9362"/>
    <n v="139648"/>
    <n v="0"/>
    <n v="186288"/>
    <n v="0"/>
    <n v="2808"/>
    <n v="3912"/>
    <n v="0"/>
    <n v="69176"/>
    <n v="3522"/>
    <n v="0"/>
    <n v="0"/>
    <n v="0"/>
    <n v="21856"/>
    <n v="12312"/>
    <n v="0"/>
    <n v="0"/>
    <n v="14332"/>
    <n v="0"/>
    <n v="535392"/>
    <n v="0"/>
    <n v="12954"/>
    <n v="0"/>
    <n v="0"/>
    <n v="0"/>
    <n v="0"/>
    <n v="0"/>
    <n v="5354"/>
    <n v="3892"/>
    <n v="0"/>
    <n v="0"/>
    <n v="0"/>
    <n v="65084"/>
    <n v="0"/>
  </r>
  <r>
    <x v="9"/>
    <x v="2"/>
    <n v="0"/>
    <n v="286"/>
    <n v="4172"/>
    <n v="16104"/>
    <n v="0"/>
    <n v="1074"/>
    <n v="14148"/>
    <n v="1408"/>
    <n v="4186"/>
    <n v="0"/>
    <n v="0"/>
    <n v="0"/>
    <n v="0"/>
    <n v="134"/>
    <n v="40710"/>
    <n v="0"/>
    <n v="38282"/>
    <n v="0"/>
    <n v="758"/>
    <n v="426"/>
    <n v="0"/>
    <n v="0"/>
    <n v="1590"/>
    <n v="0"/>
    <n v="0"/>
    <n v="0"/>
    <n v="14556"/>
    <n v="2504"/>
    <n v="0"/>
    <n v="0"/>
    <n v="12"/>
    <n v="0"/>
    <n v="263844"/>
    <n v="0"/>
    <n v="5478"/>
    <n v="0"/>
    <n v="0"/>
    <n v="0"/>
    <n v="0"/>
    <n v="0"/>
    <n v="1442"/>
    <n v="2964"/>
    <n v="0"/>
    <n v="0"/>
    <n v="0"/>
    <n v="7492"/>
    <n v="0"/>
  </r>
  <r>
    <x v="9"/>
    <x v="3"/>
    <m/>
    <m/>
    <n v="50"/>
    <n v="107"/>
    <n v="89"/>
    <n v="2"/>
    <n v="416"/>
    <n v="133"/>
    <n v="268"/>
    <m/>
    <m/>
    <m/>
    <m/>
    <n v="60"/>
    <m/>
    <m/>
    <n v="0"/>
    <m/>
    <n v="9"/>
    <n v="2"/>
    <m/>
    <m/>
    <n v="6"/>
    <m/>
    <m/>
    <m/>
    <n v="355"/>
    <n v="121"/>
    <m/>
    <m/>
    <n v="161"/>
    <m/>
    <n v="4358"/>
    <m/>
    <n v="176"/>
    <m/>
    <m/>
    <m/>
    <m/>
    <n v="0"/>
    <n v="19"/>
    <n v="13"/>
    <m/>
    <m/>
    <n v="6586"/>
    <n v="269"/>
    <m/>
  </r>
  <r>
    <x v="9"/>
    <x v="4"/>
    <m/>
    <m/>
    <n v="6"/>
    <n v="168"/>
    <n v="26"/>
    <m/>
    <m/>
    <n v="97"/>
    <m/>
    <m/>
    <m/>
    <m/>
    <m/>
    <n v="154"/>
    <m/>
    <m/>
    <n v="396"/>
    <m/>
    <n v="16"/>
    <n v="21"/>
    <m/>
    <n v="246"/>
    <m/>
    <m/>
    <m/>
    <m/>
    <n v="340"/>
    <m/>
    <m/>
    <m/>
    <n v="48"/>
    <m/>
    <n v="11781"/>
    <m/>
    <n v="28"/>
    <m/>
    <m/>
    <m/>
    <m/>
    <n v="0"/>
    <n v="11"/>
    <m/>
    <m/>
    <m/>
    <n v="6165"/>
    <n v="499"/>
    <m/>
  </r>
  <r>
    <x v="9"/>
    <x v="5"/>
    <m/>
    <m/>
    <m/>
    <m/>
    <n v="35"/>
    <m/>
    <m/>
    <n v="3"/>
    <m/>
    <m/>
    <m/>
    <m/>
    <m/>
    <m/>
    <m/>
    <m/>
    <n v="0"/>
    <m/>
    <n v="6"/>
    <n v="3"/>
    <m/>
    <n v="261"/>
    <m/>
    <m/>
    <m/>
    <m/>
    <m/>
    <m/>
    <m/>
    <m/>
    <m/>
    <m/>
    <n v="11408"/>
    <m/>
    <n v="94"/>
    <m/>
    <m/>
    <m/>
    <m/>
    <n v="0"/>
    <n v="4"/>
    <n v="2"/>
    <m/>
    <m/>
    <m/>
    <m/>
    <m/>
  </r>
  <r>
    <x v="9"/>
    <x v="6"/>
    <m/>
    <n v="99"/>
    <n v="403"/>
    <n v="691"/>
    <n v="158"/>
    <n v="2"/>
    <n v="1117"/>
    <n v="264"/>
    <n v="682"/>
    <m/>
    <m/>
    <m/>
    <m/>
    <n v="208"/>
    <n v="15498"/>
    <m/>
    <n v="1035"/>
    <m/>
    <n v="4"/>
    <n v="2"/>
    <m/>
    <n v="1137"/>
    <n v="124"/>
    <m/>
    <m/>
    <m/>
    <n v="406"/>
    <n v="75"/>
    <m/>
    <m/>
    <n v="603"/>
    <m/>
    <n v="17331"/>
    <m/>
    <n v="293"/>
    <m/>
    <m/>
    <m/>
    <m/>
    <n v="0"/>
    <n v="142"/>
    <n v="21"/>
    <m/>
    <m/>
    <m/>
    <n v="1376"/>
    <m/>
  </r>
  <r>
    <x v="9"/>
    <x v="7"/>
    <m/>
    <n v="6"/>
    <n v="56"/>
    <n v="203"/>
    <n v="413"/>
    <m/>
    <n v="215"/>
    <n v="324"/>
    <n v="313"/>
    <m/>
    <m/>
    <m/>
    <m/>
    <n v="280"/>
    <m/>
    <m/>
    <n v="1096"/>
    <m/>
    <n v="94"/>
    <n v="76"/>
    <m/>
    <n v="1780"/>
    <n v="472"/>
    <m/>
    <m/>
    <m/>
    <n v="3039"/>
    <m/>
    <m/>
    <m/>
    <n v="372"/>
    <m/>
    <m/>
    <m/>
    <n v="40"/>
    <m/>
    <m/>
    <m/>
    <m/>
    <n v="0"/>
    <n v="277"/>
    <n v="44"/>
    <m/>
    <m/>
    <m/>
    <n v="1944"/>
    <m/>
  </r>
  <r>
    <x v="9"/>
    <x v="8"/>
    <m/>
    <m/>
    <n v="382"/>
    <m/>
    <n v="11"/>
    <m/>
    <n v="3480"/>
    <m/>
    <m/>
    <m/>
    <m/>
    <m/>
    <m/>
    <m/>
    <m/>
    <m/>
    <n v="0"/>
    <m/>
    <n v="0"/>
    <n v="0"/>
    <m/>
    <n v="8087"/>
    <m/>
    <m/>
    <m/>
    <m/>
    <m/>
    <m/>
    <m/>
    <m/>
    <n v="63"/>
    <m/>
    <m/>
    <m/>
    <n v="917"/>
    <m/>
    <m/>
    <m/>
    <m/>
    <n v="0"/>
    <m/>
    <n v="813"/>
    <m/>
    <m/>
    <n v="3870"/>
    <n v="8281"/>
    <m/>
  </r>
  <r>
    <x v="9"/>
    <x v="9"/>
    <m/>
    <m/>
    <m/>
    <n v="899"/>
    <n v="161"/>
    <m/>
    <m/>
    <n v="2247"/>
    <m/>
    <m/>
    <m/>
    <m/>
    <m/>
    <n v="298"/>
    <m/>
    <m/>
    <n v="1759"/>
    <m/>
    <n v="18"/>
    <n v="200"/>
    <m/>
    <n v="5019"/>
    <m/>
    <m/>
    <m/>
    <m/>
    <n v="1912"/>
    <m/>
    <m/>
    <m/>
    <m/>
    <m/>
    <n v="37181"/>
    <m/>
    <n v="434"/>
    <m/>
    <m/>
    <m/>
    <m/>
    <n v="0"/>
    <n v="848"/>
    <n v="446"/>
    <m/>
    <m/>
    <n v="6166"/>
    <n v="19"/>
    <m/>
  </r>
  <r>
    <x v="9"/>
    <x v="10"/>
    <m/>
    <n v="81"/>
    <n v="352"/>
    <n v="209"/>
    <n v="123"/>
    <m/>
    <m/>
    <n v="267"/>
    <n v="439"/>
    <m/>
    <m/>
    <m/>
    <m/>
    <n v="137"/>
    <m/>
    <m/>
    <n v="1673"/>
    <m/>
    <n v="172"/>
    <n v="2"/>
    <m/>
    <n v="717"/>
    <m/>
    <m/>
    <m/>
    <m/>
    <n v="264"/>
    <m/>
    <m/>
    <m/>
    <m/>
    <m/>
    <m/>
    <m/>
    <n v="123"/>
    <m/>
    <m/>
    <m/>
    <m/>
    <n v="0"/>
    <m/>
    <n v="95"/>
    <m/>
    <m/>
    <n v="9281"/>
    <n v="1375"/>
    <m/>
  </r>
  <r>
    <x v="9"/>
    <x v="11"/>
    <m/>
    <n v="729"/>
    <n v="1744"/>
    <m/>
    <n v="337"/>
    <n v="47"/>
    <m/>
    <n v="249"/>
    <m/>
    <m/>
    <m/>
    <m/>
    <m/>
    <n v="267"/>
    <m/>
    <m/>
    <n v="6276"/>
    <m/>
    <n v="0"/>
    <n v="1"/>
    <m/>
    <m/>
    <m/>
    <m/>
    <m/>
    <m/>
    <n v="301"/>
    <m/>
    <m/>
    <m/>
    <n v="99"/>
    <m/>
    <n v="34554"/>
    <m/>
    <n v="14"/>
    <m/>
    <m/>
    <m/>
    <m/>
    <n v="0"/>
    <n v="848"/>
    <n v="149"/>
    <m/>
    <m/>
    <n v="6353"/>
    <n v="3182"/>
    <m/>
  </r>
  <r>
    <x v="9"/>
    <x v="12"/>
    <m/>
    <m/>
    <n v="311"/>
    <m/>
    <m/>
    <n v="25"/>
    <m/>
    <m/>
    <n v="665"/>
    <m/>
    <m/>
    <m/>
    <m/>
    <m/>
    <m/>
    <m/>
    <n v="6"/>
    <m/>
    <n v="44"/>
    <n v="1"/>
    <m/>
    <n v="5029"/>
    <m/>
    <m/>
    <m/>
    <m/>
    <m/>
    <m/>
    <m/>
    <m/>
    <n v="209"/>
    <m/>
    <n v="1234"/>
    <m/>
    <n v="53"/>
    <m/>
    <m/>
    <m/>
    <m/>
    <n v="0"/>
    <m/>
    <n v="342"/>
    <m/>
    <m/>
    <n v="4196"/>
    <n v="4646"/>
    <m/>
  </r>
  <r>
    <x v="9"/>
    <x v="13"/>
    <m/>
    <m/>
    <m/>
    <m/>
    <m/>
    <n v="39"/>
    <m/>
    <m/>
    <m/>
    <m/>
    <m/>
    <m/>
    <m/>
    <n v="234"/>
    <m/>
    <m/>
    <n v="0"/>
    <m/>
    <n v="252"/>
    <n v="28"/>
    <m/>
    <m/>
    <m/>
    <m/>
    <m/>
    <m/>
    <m/>
    <m/>
    <m/>
    <m/>
    <m/>
    <m/>
    <m/>
    <m/>
    <m/>
    <m/>
    <m/>
    <m/>
    <m/>
    <n v="0"/>
    <m/>
    <n v="86"/>
    <m/>
    <m/>
    <n v="549"/>
    <m/>
    <m/>
  </r>
  <r>
    <x v="9"/>
    <x v="14"/>
    <m/>
    <m/>
    <n v="21"/>
    <n v="2947"/>
    <m/>
    <n v="1595"/>
    <m/>
    <m/>
    <m/>
    <m/>
    <m/>
    <m/>
    <m/>
    <n v="2626"/>
    <n v="42630"/>
    <m/>
    <n v="0"/>
    <m/>
    <n v="0"/>
    <n v="0"/>
    <m/>
    <n v="86490"/>
    <m/>
    <m/>
    <n v="41616"/>
    <m/>
    <n v="7329"/>
    <m/>
    <m/>
    <m/>
    <m/>
    <m/>
    <n v="7912"/>
    <m/>
    <n v="16443"/>
    <m/>
    <m/>
    <m/>
    <m/>
    <n v="0"/>
    <n v="8077"/>
    <n v="7500"/>
    <m/>
    <m/>
    <m/>
    <m/>
    <m/>
  </r>
  <r>
    <x v="9"/>
    <x v="15"/>
    <m/>
    <m/>
    <n v="187"/>
    <m/>
    <n v="42"/>
    <m/>
    <n v="97"/>
    <n v="21"/>
    <n v="680"/>
    <m/>
    <m/>
    <m/>
    <m/>
    <n v="131"/>
    <m/>
    <m/>
    <n v="159"/>
    <m/>
    <n v="1"/>
    <n v="6"/>
    <m/>
    <n v="718"/>
    <m/>
    <m/>
    <m/>
    <m/>
    <n v="123"/>
    <m/>
    <m/>
    <m/>
    <n v="140"/>
    <m/>
    <m/>
    <m/>
    <m/>
    <m/>
    <m/>
    <m/>
    <m/>
    <n v="20"/>
    <m/>
    <n v="161"/>
    <m/>
    <m/>
    <n v="8345"/>
    <n v="1324"/>
    <m/>
  </r>
  <r>
    <x v="9"/>
    <x v="16"/>
    <m/>
    <n v="7"/>
    <n v="44"/>
    <n v="35"/>
    <n v="3"/>
    <m/>
    <m/>
    <n v="65"/>
    <n v="1385"/>
    <m/>
    <m/>
    <m/>
    <m/>
    <m/>
    <m/>
    <m/>
    <n v="887"/>
    <m/>
    <n v="0"/>
    <n v="2"/>
    <m/>
    <n v="1985"/>
    <m/>
    <m/>
    <m/>
    <m/>
    <n v="1172"/>
    <m/>
    <m/>
    <m/>
    <m/>
    <m/>
    <m/>
    <m/>
    <n v="8"/>
    <m/>
    <m/>
    <m/>
    <m/>
    <n v="3"/>
    <n v="77"/>
    <n v="14"/>
    <m/>
    <m/>
    <n v="216"/>
    <m/>
    <m/>
  </r>
  <r>
    <x v="9"/>
    <x v="17"/>
    <m/>
    <n v="5"/>
    <m/>
    <m/>
    <n v="8"/>
    <m/>
    <m/>
    <m/>
    <m/>
    <m/>
    <m/>
    <m/>
    <m/>
    <m/>
    <m/>
    <m/>
    <n v="9"/>
    <m/>
    <n v="0"/>
    <n v="0"/>
    <m/>
    <m/>
    <m/>
    <m/>
    <m/>
    <m/>
    <m/>
    <m/>
    <m/>
    <m/>
    <m/>
    <m/>
    <m/>
    <m/>
    <m/>
    <m/>
    <m/>
    <m/>
    <m/>
    <n v="5"/>
    <m/>
    <n v="33"/>
    <m/>
    <m/>
    <n v="4037"/>
    <m/>
    <m/>
  </r>
  <r>
    <x v="9"/>
    <x v="18"/>
    <m/>
    <m/>
    <m/>
    <n v="3"/>
    <n v="6"/>
    <m/>
    <m/>
    <m/>
    <m/>
    <m/>
    <m/>
    <m/>
    <m/>
    <n v="99"/>
    <n v="567"/>
    <m/>
    <n v="235"/>
    <m/>
    <n v="18"/>
    <n v="10"/>
    <m/>
    <m/>
    <m/>
    <m/>
    <m/>
    <m/>
    <n v="151"/>
    <m/>
    <m/>
    <m/>
    <n v="99"/>
    <m/>
    <n v="5485"/>
    <m/>
    <n v="107"/>
    <m/>
    <m/>
    <m/>
    <m/>
    <n v="22"/>
    <m/>
    <n v="1"/>
    <m/>
    <m/>
    <n v="4012"/>
    <m/>
    <m/>
  </r>
  <r>
    <x v="9"/>
    <x v="19"/>
    <m/>
    <m/>
    <m/>
    <m/>
    <m/>
    <m/>
    <m/>
    <m/>
    <m/>
    <m/>
    <m/>
    <m/>
    <m/>
    <m/>
    <n v="17"/>
    <m/>
    <n v="0"/>
    <m/>
    <n v="0"/>
    <n v="0"/>
    <m/>
    <m/>
    <m/>
    <m/>
    <m/>
    <m/>
    <m/>
    <m/>
    <m/>
    <m/>
    <m/>
    <m/>
    <n v="37181"/>
    <m/>
    <n v="4"/>
    <m/>
    <m/>
    <m/>
    <m/>
    <n v="4"/>
    <m/>
    <n v="17"/>
    <m/>
    <m/>
    <m/>
    <m/>
    <m/>
  </r>
  <r>
    <x v="9"/>
    <x v="20"/>
    <m/>
    <m/>
    <m/>
    <m/>
    <m/>
    <m/>
    <m/>
    <n v="584"/>
    <m/>
    <m/>
    <m/>
    <m/>
    <m/>
    <n v="6"/>
    <m/>
    <m/>
    <n v="0"/>
    <m/>
    <n v="0"/>
    <n v="16"/>
    <m/>
    <n v="749"/>
    <m/>
    <m/>
    <m/>
    <m/>
    <n v="153"/>
    <m/>
    <m/>
    <m/>
    <m/>
    <m/>
    <m/>
    <m/>
    <n v="173"/>
    <m/>
    <m/>
    <m/>
    <m/>
    <n v="2"/>
    <m/>
    <n v="23"/>
    <m/>
    <m/>
    <m/>
    <m/>
    <m/>
  </r>
  <r>
    <x v="9"/>
    <x v="21"/>
    <m/>
    <n v="15"/>
    <m/>
    <n v="8"/>
    <n v="15"/>
    <m/>
    <m/>
    <n v="44"/>
    <m/>
    <m/>
    <m/>
    <m/>
    <m/>
    <n v="7"/>
    <m/>
    <m/>
    <n v="48"/>
    <m/>
    <n v="0"/>
    <n v="12"/>
    <m/>
    <m/>
    <m/>
    <m/>
    <m/>
    <m/>
    <n v="610"/>
    <m/>
    <m/>
    <m/>
    <m/>
    <m/>
    <m/>
    <m/>
    <m/>
    <m/>
    <m/>
    <m/>
    <m/>
    <n v="6"/>
    <m/>
    <n v="69"/>
    <m/>
    <m/>
    <n v="9125"/>
    <m/>
    <m/>
  </r>
  <r>
    <x v="10"/>
    <x v="0"/>
    <n v="21301"/>
    <n v="0"/>
    <n v="5567"/>
    <n v="7587"/>
    <n v="1984"/>
    <n v="0"/>
    <n v="9860"/>
    <n v="8865"/>
    <n v="36986"/>
    <n v="2339"/>
    <n v="0"/>
    <n v="5532"/>
    <n v="0"/>
    <n v="584"/>
    <n v="35754"/>
    <n v="2832"/>
    <n v="9452"/>
    <n v="856"/>
    <n v="0"/>
    <n v="885"/>
    <n v="478"/>
    <n v="13340"/>
    <n v="2025"/>
    <n v="748"/>
    <n v="0"/>
    <n v="8998"/>
    <n v="6140"/>
    <n v="2236"/>
    <n v="3224"/>
    <n v="2121"/>
    <n v="3012"/>
    <n v="1415"/>
    <n v="172576"/>
    <n v="0"/>
    <n v="4876"/>
    <n v="753"/>
    <n v="0"/>
    <n v="0"/>
    <n v="4063"/>
    <n v="923"/>
    <n v="3311"/>
    <n v="1641"/>
    <n v="17386"/>
    <n v="17454"/>
    <n v="0"/>
    <n v="11020"/>
    <n v="6133"/>
  </r>
  <r>
    <x v="10"/>
    <x v="1"/>
    <n v="89978"/>
    <n v="0"/>
    <n v="11786"/>
    <n v="27922"/>
    <n v="16056"/>
    <n v="0"/>
    <n v="29958"/>
    <n v="32946"/>
    <n v="230632"/>
    <n v="11146"/>
    <n v="0"/>
    <n v="1882"/>
    <n v="0"/>
    <n v="10014"/>
    <n v="140492"/>
    <n v="8554"/>
    <n v="205886"/>
    <n v="8734"/>
    <n v="0"/>
    <n v="3758"/>
    <n v="2750"/>
    <n v="69268"/>
    <n v="6880"/>
    <n v="0"/>
    <n v="0"/>
    <n v="12654"/>
    <n v="19550"/>
    <n v="13006"/>
    <n v="7800"/>
    <n v="19184"/>
    <n v="17210"/>
    <n v="9130"/>
    <n v="441362"/>
    <n v="0"/>
    <n v="9474"/>
    <n v="14712"/>
    <n v="0"/>
    <n v="0"/>
    <n v="7648"/>
    <n v="1246"/>
    <n v="5866"/>
    <n v="5260"/>
    <n v="0"/>
    <n v="148394"/>
    <n v="0"/>
    <n v="67558"/>
    <n v="64364"/>
  </r>
  <r>
    <x v="10"/>
    <x v="2"/>
    <n v="44"/>
    <n v="0"/>
    <n v="4110"/>
    <n v="18588"/>
    <n v="0"/>
    <n v="0"/>
    <n v="14850"/>
    <n v="3348"/>
    <n v="5280"/>
    <n v="1814"/>
    <n v="0"/>
    <n v="0"/>
    <n v="0"/>
    <n v="134"/>
    <n v="43986"/>
    <n v="1840"/>
    <n v="47764"/>
    <n v="1554"/>
    <n v="0"/>
    <n v="394"/>
    <n v="46"/>
    <n v="274"/>
    <n v="1538"/>
    <n v="0"/>
    <n v="0"/>
    <n v="3258"/>
    <n v="14240"/>
    <n v="2680"/>
    <n v="0"/>
    <n v="1232"/>
    <n v="14"/>
    <n v="1436"/>
    <n v="293574"/>
    <n v="0"/>
    <n v="5606"/>
    <n v="4542"/>
    <n v="0"/>
    <n v="0"/>
    <n v="0"/>
    <n v="312"/>
    <n v="1566"/>
    <n v="3728"/>
    <n v="0"/>
    <n v="65914"/>
    <n v="0"/>
    <n v="18404"/>
    <n v="5592"/>
  </r>
  <r>
    <x v="10"/>
    <x v="3"/>
    <n v="171"/>
    <m/>
    <n v="50"/>
    <n v="39"/>
    <n v="86"/>
    <m/>
    <n v="418"/>
    <n v="317"/>
    <n v="392"/>
    <n v="9"/>
    <m/>
    <n v="10"/>
    <m/>
    <n v="58"/>
    <n v="271"/>
    <n v="44"/>
    <n v="0"/>
    <n v="34"/>
    <m/>
    <n v="20"/>
    <m/>
    <n v="273"/>
    <n v="6"/>
    <n v="31"/>
    <n v="225"/>
    <m/>
    <n v="348"/>
    <n v="131"/>
    <m/>
    <n v="91"/>
    <n v="207"/>
    <n v="24"/>
    <n v="5048"/>
    <m/>
    <n v="223"/>
    <n v="6"/>
    <m/>
    <m/>
    <m/>
    <n v="44"/>
    <n v="21"/>
    <n v="18"/>
    <n v="583"/>
    <n v="1440"/>
    <n v="1348"/>
    <n v="261"/>
    <n v="2703"/>
  </r>
  <r>
    <x v="10"/>
    <x v="4"/>
    <n v="0"/>
    <m/>
    <m/>
    <m/>
    <n v="24"/>
    <m/>
    <n v="28"/>
    <n v="88"/>
    <m/>
    <m/>
    <m/>
    <n v="0"/>
    <m/>
    <n v="157"/>
    <n v="195"/>
    <n v="67"/>
    <n v="488"/>
    <n v="50"/>
    <m/>
    <n v="2"/>
    <m/>
    <n v="255"/>
    <m/>
    <n v="49"/>
    <m/>
    <m/>
    <n v="341"/>
    <m/>
    <n v="78"/>
    <n v="173"/>
    <n v="49"/>
    <m/>
    <m/>
    <m/>
    <n v="64"/>
    <n v="126"/>
    <m/>
    <m/>
    <m/>
    <n v="0"/>
    <m/>
    <n v="1"/>
    <n v="449"/>
    <m/>
    <n v="1550"/>
    <n v="743"/>
    <n v="178"/>
  </r>
  <r>
    <x v="10"/>
    <x v="5"/>
    <n v="0"/>
    <m/>
    <m/>
    <n v="7"/>
    <n v="33"/>
    <m/>
    <m/>
    <n v="11"/>
    <m/>
    <m/>
    <m/>
    <n v="0"/>
    <m/>
    <m/>
    <n v="65"/>
    <n v="17"/>
    <n v="0"/>
    <m/>
    <m/>
    <n v="2"/>
    <m/>
    <n v="181"/>
    <m/>
    <n v="5"/>
    <m/>
    <m/>
    <m/>
    <m/>
    <m/>
    <n v="12"/>
    <m/>
    <n v="6"/>
    <m/>
    <m/>
    <n v="15"/>
    <n v="13"/>
    <m/>
    <m/>
    <m/>
    <n v="0"/>
    <n v="11"/>
    <n v="19"/>
    <m/>
    <m/>
    <n v="54"/>
    <n v="23"/>
    <m/>
  </r>
  <r>
    <x v="10"/>
    <x v="6"/>
    <n v="967"/>
    <m/>
    <n v="382"/>
    <n v="575"/>
    <n v="125"/>
    <m/>
    <n v="1162"/>
    <n v="602"/>
    <n v="806"/>
    <n v="28"/>
    <m/>
    <n v="23"/>
    <m/>
    <n v="199"/>
    <n v="5871"/>
    <n v="168"/>
    <n v="1188"/>
    <m/>
    <m/>
    <n v="2"/>
    <n v="14"/>
    <n v="886"/>
    <n v="170"/>
    <n v="201"/>
    <n v="27"/>
    <n v="1721"/>
    <n v="498"/>
    <n v="85"/>
    <n v="35"/>
    <n v="111"/>
    <n v="655"/>
    <n v="43"/>
    <n v="18277"/>
    <m/>
    <n v="352"/>
    <n v="89"/>
    <m/>
    <m/>
    <m/>
    <n v="35"/>
    <n v="163"/>
    <n v="255"/>
    <n v="1746"/>
    <n v="1712"/>
    <n v="3609"/>
    <n v="639"/>
    <n v="1902"/>
  </r>
  <r>
    <x v="10"/>
    <x v="7"/>
    <n v="636"/>
    <m/>
    <m/>
    <n v="210"/>
    <n v="449"/>
    <m/>
    <n v="200"/>
    <n v="369"/>
    <n v="378"/>
    <n v="80"/>
    <m/>
    <n v="6"/>
    <m/>
    <n v="288"/>
    <n v="11220"/>
    <n v="233"/>
    <n v="1507"/>
    <m/>
    <m/>
    <n v="80"/>
    <n v="91"/>
    <n v="1797"/>
    <n v="447"/>
    <n v="31"/>
    <m/>
    <m/>
    <n v="3299"/>
    <m/>
    <n v="314"/>
    <n v="710"/>
    <n v="402"/>
    <n v="4"/>
    <n v="2326"/>
    <m/>
    <n v="57"/>
    <n v="88"/>
    <m/>
    <m/>
    <m/>
    <n v="0"/>
    <n v="320"/>
    <n v="73"/>
    <n v="5583"/>
    <n v="1820"/>
    <m/>
    <n v="1800"/>
    <n v="588"/>
  </r>
  <r>
    <x v="10"/>
    <x v="8"/>
    <n v="0"/>
    <m/>
    <n v="382"/>
    <n v="1698"/>
    <n v="6"/>
    <m/>
    <n v="3896"/>
    <n v="34"/>
    <m/>
    <m/>
    <m/>
    <n v="0"/>
    <m/>
    <m/>
    <n v="1205"/>
    <n v="84"/>
    <n v="0"/>
    <m/>
    <m/>
    <n v="0"/>
    <n v="101"/>
    <n v="8639"/>
    <m/>
    <n v="2"/>
    <m/>
    <m/>
    <n v="6873"/>
    <m/>
    <m/>
    <n v="37"/>
    <n v="82"/>
    <n v="1592"/>
    <m/>
    <m/>
    <n v="1083"/>
    <m/>
    <m/>
    <m/>
    <m/>
    <n v="0"/>
    <m/>
    <n v="390"/>
    <n v="71119"/>
    <m/>
    <n v="20327"/>
    <n v="970"/>
    <m/>
  </r>
  <r>
    <x v="10"/>
    <x v="9"/>
    <n v="9"/>
    <m/>
    <m/>
    <m/>
    <n v="191"/>
    <m/>
    <m/>
    <n v="293"/>
    <m/>
    <m/>
    <m/>
    <n v="0"/>
    <m/>
    <n v="296"/>
    <n v="0"/>
    <n v="231"/>
    <n v="2139"/>
    <m/>
    <m/>
    <n v="1"/>
    <m/>
    <n v="4663"/>
    <m/>
    <n v="0"/>
    <m/>
    <m/>
    <n v="335"/>
    <m/>
    <n v="270"/>
    <n v="81"/>
    <m/>
    <m/>
    <n v="36833"/>
    <m/>
    <m/>
    <m/>
    <m/>
    <m/>
    <m/>
    <n v="0"/>
    <n v="1028"/>
    <m/>
    <n v="1198"/>
    <n v="3309"/>
    <n v="13"/>
    <n v="388"/>
    <n v="757"/>
  </r>
  <r>
    <x v="10"/>
    <x v="10"/>
    <n v="107"/>
    <m/>
    <m/>
    <m/>
    <n v="82"/>
    <m/>
    <m/>
    <n v="4864"/>
    <n v="528"/>
    <m/>
    <m/>
    <n v="0"/>
    <m/>
    <n v="141"/>
    <n v="1469"/>
    <n v="478"/>
    <n v="2703"/>
    <m/>
    <m/>
    <n v="51"/>
    <m/>
    <n v="0"/>
    <m/>
    <n v="76"/>
    <m/>
    <m/>
    <n v="276"/>
    <m/>
    <m/>
    <n v="610"/>
    <n v="289"/>
    <m/>
    <n v="4262"/>
    <m/>
    <n v="237"/>
    <n v="38"/>
    <m/>
    <m/>
    <m/>
    <n v="0"/>
    <m/>
    <m/>
    <n v="543"/>
    <n v="1249"/>
    <m/>
    <n v="2633"/>
    <m/>
  </r>
  <r>
    <x v="10"/>
    <x v="11"/>
    <n v="12"/>
    <m/>
    <n v="1602"/>
    <m/>
    <n v="318"/>
    <m/>
    <m/>
    <n v="161"/>
    <m/>
    <n v="777"/>
    <m/>
    <n v="0"/>
    <m/>
    <n v="267"/>
    <n v="13915"/>
    <n v="228"/>
    <n v="477"/>
    <m/>
    <m/>
    <n v="197"/>
    <n v="228"/>
    <n v="636"/>
    <m/>
    <n v="28"/>
    <m/>
    <m/>
    <n v="2040"/>
    <m/>
    <n v="224"/>
    <n v="189"/>
    <n v="1065"/>
    <n v="418"/>
    <n v="38712"/>
    <m/>
    <n v="252"/>
    <n v="298"/>
    <m/>
    <m/>
    <m/>
    <n v="0"/>
    <n v="1028"/>
    <n v="887"/>
    <n v="4743"/>
    <n v="13380"/>
    <m/>
    <n v="1474"/>
    <n v="795"/>
  </r>
  <r>
    <x v="10"/>
    <x v="12"/>
    <n v="11"/>
    <m/>
    <n v="257"/>
    <n v="1791"/>
    <m/>
    <m/>
    <m/>
    <n v="668"/>
    <n v="718"/>
    <m/>
    <m/>
    <n v="0"/>
    <m/>
    <n v="233"/>
    <n v="2367"/>
    <n v="155"/>
    <n v="47"/>
    <m/>
    <m/>
    <n v="0"/>
    <m/>
    <n v="4286"/>
    <m/>
    <n v="31"/>
    <m/>
    <m/>
    <m/>
    <m/>
    <n v="26"/>
    <n v="548"/>
    <n v="245"/>
    <n v="136"/>
    <n v="20392"/>
    <m/>
    <n v="634"/>
    <n v="163"/>
    <m/>
    <m/>
    <m/>
    <n v="0"/>
    <m/>
    <n v="461"/>
    <n v="657"/>
    <n v="426"/>
    <n v="1168"/>
    <n v="463"/>
    <n v="690"/>
  </r>
  <r>
    <x v="10"/>
    <x v="13"/>
    <n v="0"/>
    <m/>
    <m/>
    <m/>
    <m/>
    <m/>
    <m/>
    <n v="1"/>
    <m/>
    <m/>
    <m/>
    <n v="0"/>
    <m/>
    <m/>
    <n v="0"/>
    <n v="2"/>
    <n v="0"/>
    <m/>
    <m/>
    <n v="24"/>
    <m/>
    <n v="0"/>
    <m/>
    <n v="0"/>
    <m/>
    <m/>
    <m/>
    <m/>
    <m/>
    <n v="0"/>
    <m/>
    <m/>
    <m/>
    <m/>
    <m/>
    <m/>
    <m/>
    <m/>
    <m/>
    <n v="0"/>
    <m/>
    <m/>
    <n v="2313"/>
    <n v="3936"/>
    <m/>
    <n v="3325"/>
    <n v="1994"/>
  </r>
  <r>
    <x v="10"/>
    <x v="14"/>
    <n v="5"/>
    <m/>
    <n v="21"/>
    <n v="3145"/>
    <m/>
    <m/>
    <m/>
    <n v="310"/>
    <m/>
    <m/>
    <m/>
    <n v="155"/>
    <m/>
    <n v="2626"/>
    <n v="41101"/>
    <n v="98"/>
    <n v="0"/>
    <m/>
    <m/>
    <n v="3975"/>
    <n v="146"/>
    <n v="86423"/>
    <m/>
    <n v="9196"/>
    <m/>
    <m/>
    <n v="6992"/>
    <m/>
    <n v="916"/>
    <n v="10747"/>
    <m/>
    <n v="2239"/>
    <n v="154477"/>
    <m/>
    <n v="18757"/>
    <m/>
    <m/>
    <m/>
    <m/>
    <n v="0"/>
    <m/>
    <m/>
    <n v="20737"/>
    <m/>
    <n v="63290"/>
    <n v="2421"/>
    <n v="19722"/>
  </r>
  <r>
    <x v="10"/>
    <x v="15"/>
    <n v="705"/>
    <m/>
    <n v="187"/>
    <m/>
    <n v="30"/>
    <m/>
    <n v="95"/>
    <n v="24"/>
    <n v="793"/>
    <m/>
    <m/>
    <n v="10"/>
    <m/>
    <n v="1"/>
    <n v="231"/>
    <n v="2"/>
    <n v="196"/>
    <m/>
    <m/>
    <n v="5"/>
    <m/>
    <n v="631"/>
    <m/>
    <n v="5"/>
    <m/>
    <m/>
    <n v="114"/>
    <m/>
    <m/>
    <n v="160"/>
    <n v="144"/>
    <m/>
    <n v="6282"/>
    <m/>
    <n v="90"/>
    <m/>
    <m/>
    <m/>
    <m/>
    <n v="0"/>
    <m/>
    <n v="183"/>
    <n v="526"/>
    <n v="572"/>
    <n v="1446"/>
    <n v="269"/>
    <n v="400"/>
  </r>
  <r>
    <x v="10"/>
    <x v="16"/>
    <n v="15"/>
    <m/>
    <n v="44"/>
    <n v="71"/>
    <n v="4"/>
    <m/>
    <m/>
    <n v="49"/>
    <n v="1688"/>
    <m/>
    <m/>
    <n v="11"/>
    <m/>
    <m/>
    <n v="630"/>
    <m/>
    <n v="1481"/>
    <m/>
    <m/>
    <n v="1"/>
    <m/>
    <n v="2217"/>
    <m/>
    <n v="0"/>
    <m/>
    <m/>
    <n v="1344"/>
    <m/>
    <n v="14"/>
    <n v="28"/>
    <m/>
    <n v="119"/>
    <m/>
    <m/>
    <n v="7"/>
    <n v="261"/>
    <m/>
    <m/>
    <m/>
    <n v="0"/>
    <n v="77"/>
    <n v="50"/>
    <m/>
    <m/>
    <n v="643"/>
    <n v="773"/>
    <n v="77"/>
  </r>
  <r>
    <x v="10"/>
    <x v="17"/>
    <n v="1"/>
    <m/>
    <m/>
    <m/>
    <n v="11"/>
    <m/>
    <m/>
    <n v="0"/>
    <m/>
    <m/>
    <m/>
    <n v="0"/>
    <m/>
    <m/>
    <m/>
    <m/>
    <n v="30"/>
    <m/>
    <m/>
    <n v="0"/>
    <m/>
    <n v="0"/>
    <m/>
    <n v="0"/>
    <m/>
    <m/>
    <m/>
    <m/>
    <n v="27"/>
    <n v="0"/>
    <m/>
    <m/>
    <n v="168"/>
    <m/>
    <m/>
    <m/>
    <m/>
    <m/>
    <m/>
    <n v="0"/>
    <m/>
    <m/>
    <n v="2"/>
    <m/>
    <n v="586"/>
    <n v="2"/>
    <m/>
  </r>
  <r>
    <x v="10"/>
    <x v="18"/>
    <n v="6"/>
    <m/>
    <m/>
    <n v="2"/>
    <n v="4"/>
    <m/>
    <m/>
    <n v="10"/>
    <m/>
    <m/>
    <m/>
    <n v="4"/>
    <m/>
    <n v="96"/>
    <n v="383"/>
    <m/>
    <n v="309"/>
    <m/>
    <m/>
    <n v="0"/>
    <m/>
    <n v="0"/>
    <m/>
    <n v="3"/>
    <m/>
    <m/>
    <n v="154"/>
    <m/>
    <n v="6"/>
    <n v="73"/>
    <n v="107"/>
    <m/>
    <n v="5632"/>
    <m/>
    <m/>
    <n v="2"/>
    <m/>
    <m/>
    <m/>
    <n v="0"/>
    <m/>
    <n v="2"/>
    <n v="201"/>
    <m/>
    <n v="255"/>
    <n v="137"/>
    <m/>
  </r>
  <r>
    <x v="10"/>
    <x v="19"/>
    <m/>
    <m/>
    <m/>
    <n v="7"/>
    <m/>
    <m/>
    <m/>
    <n v="8"/>
    <m/>
    <m/>
    <m/>
    <n v="0"/>
    <m/>
    <m/>
    <n v="65"/>
    <m/>
    <n v="0"/>
    <m/>
    <m/>
    <n v="0"/>
    <m/>
    <n v="0"/>
    <m/>
    <n v="0"/>
    <m/>
    <m/>
    <n v="72"/>
    <m/>
    <m/>
    <n v="0"/>
    <m/>
    <m/>
    <n v="280"/>
    <m/>
    <m/>
    <m/>
    <m/>
    <m/>
    <m/>
    <n v="0"/>
    <m/>
    <m/>
    <n v="12"/>
    <m/>
    <n v="275"/>
    <n v="5"/>
    <m/>
  </r>
  <r>
    <x v="10"/>
    <x v="20"/>
    <n v="41"/>
    <m/>
    <m/>
    <n v="39"/>
    <m/>
    <m/>
    <m/>
    <n v="595"/>
    <m/>
    <m/>
    <m/>
    <n v="0"/>
    <m/>
    <n v="6"/>
    <m/>
    <m/>
    <n v="0"/>
    <m/>
    <m/>
    <n v="0"/>
    <m/>
    <n v="642"/>
    <m/>
    <n v="0"/>
    <m/>
    <m/>
    <n v="110"/>
    <m/>
    <m/>
    <n v="24"/>
    <m/>
    <m/>
    <m/>
    <m/>
    <n v="543"/>
    <m/>
    <m/>
    <m/>
    <m/>
    <n v="0"/>
    <m/>
    <m/>
    <m/>
    <m/>
    <n v="9098"/>
    <n v="0"/>
    <n v="84"/>
  </r>
  <r>
    <x v="10"/>
    <x v="21"/>
    <n v="767"/>
    <m/>
    <m/>
    <n v="9"/>
    <n v="17"/>
    <m/>
    <m/>
    <n v="32"/>
    <m/>
    <m/>
    <m/>
    <n v="0"/>
    <m/>
    <n v="7"/>
    <m/>
    <n v="175"/>
    <n v="65"/>
    <m/>
    <m/>
    <n v="11"/>
    <m/>
    <n v="0"/>
    <m/>
    <n v="0"/>
    <m/>
    <m/>
    <n v="655"/>
    <m/>
    <n v="16"/>
    <n v="11"/>
    <m/>
    <m/>
    <m/>
    <m/>
    <n v="14"/>
    <m/>
    <m/>
    <m/>
    <m/>
    <n v="0"/>
    <m/>
    <m/>
    <m/>
    <m/>
    <n v="723"/>
    <n v="4"/>
    <n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" cacheId="13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M27" firstHeaderRow="1" firstDataRow="2" firstDataCol="1"/>
  <pivotFields count="49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23">
        <item x="17"/>
        <item x="14"/>
        <item x="4"/>
        <item x="5"/>
        <item x="3"/>
        <item x="12"/>
        <item x="13"/>
        <item x="9"/>
        <item x="11"/>
        <item x="0"/>
        <item x="10"/>
        <item x="19"/>
        <item x="2"/>
        <item x="1"/>
        <item x="16"/>
        <item x="18"/>
        <item x="8"/>
        <item x="7"/>
        <item x="6"/>
        <item x="15"/>
        <item x="21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ZWE" fld="4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47586"/>
  <sheetViews>
    <sheetView tabSelected="1" view="pageBreakPreview" zoomScale="80" zoomScaleNormal="120" zoomScaleSheetLayoutView="80" workbookViewId="0">
      <pane xSplit="2" ySplit="1" topLeftCell="C108" activePane="bottomRight" state="frozen"/>
      <selection pane="topRight"/>
      <selection pane="bottomLeft"/>
      <selection pane="bottomRight" activeCell="A342" sqref="A342:XFD342"/>
    </sheetView>
  </sheetViews>
  <sheetFormatPr defaultColWidth="9" defaultRowHeight="14.5"/>
  <cols>
    <col min="2" max="2" width="53.7265625" customWidth="1"/>
    <col min="3" max="13" width="17.54296875" style="5" customWidth="1"/>
  </cols>
  <sheetData>
    <row r="1" spans="1:13" s="4" customFormat="1" ht="62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12" t="s">
        <v>8</v>
      </c>
      <c r="J1" s="12" t="s">
        <v>9</v>
      </c>
      <c r="K1" s="12" t="s">
        <v>10</v>
      </c>
      <c r="L1" s="13"/>
      <c r="M1" s="13"/>
    </row>
    <row r="2" spans="1:13" hidden="1">
      <c r="A2" s="10" t="s">
        <v>11</v>
      </c>
      <c r="B2" s="11" t="s">
        <v>12</v>
      </c>
    </row>
    <row r="3" spans="1:13" hidden="1">
      <c r="A3" s="10" t="s">
        <v>11</v>
      </c>
      <c r="B3" s="11" t="s">
        <v>13</v>
      </c>
    </row>
    <row r="4" spans="1:13" hidden="1">
      <c r="A4" s="10" t="s">
        <v>11</v>
      </c>
      <c r="B4" s="11" t="s">
        <v>14</v>
      </c>
    </row>
    <row r="5" spans="1:13" hidden="1">
      <c r="A5" s="10" t="s">
        <v>11</v>
      </c>
      <c r="B5" s="11" t="s">
        <v>15</v>
      </c>
    </row>
    <row r="6" spans="1:13" hidden="1">
      <c r="A6" s="10" t="s">
        <v>11</v>
      </c>
      <c r="B6" s="11" t="s">
        <v>16</v>
      </c>
    </row>
    <row r="7" spans="1:13" hidden="1">
      <c r="A7" s="10" t="s">
        <v>11</v>
      </c>
      <c r="B7" s="11" t="s">
        <v>17</v>
      </c>
    </row>
    <row r="8" spans="1:13" hidden="1">
      <c r="A8" s="10" t="s">
        <v>11</v>
      </c>
      <c r="B8" s="11" t="s">
        <v>18</v>
      </c>
    </row>
    <row r="9" spans="1:13" hidden="1">
      <c r="A9" s="10" t="s">
        <v>11</v>
      </c>
      <c r="B9" s="11" t="s">
        <v>19</v>
      </c>
    </row>
    <row r="10" spans="1:13" hidden="1">
      <c r="A10" s="10" t="s">
        <v>11</v>
      </c>
      <c r="B10" s="11" t="s">
        <v>20</v>
      </c>
    </row>
    <row r="11" spans="1:13">
      <c r="A11" s="10" t="s">
        <v>11</v>
      </c>
      <c r="B11" s="11" t="s">
        <v>21</v>
      </c>
    </row>
    <row r="12" spans="1:13" hidden="1">
      <c r="A12" s="10" t="s">
        <v>11</v>
      </c>
      <c r="B12" s="11" t="s">
        <v>22</v>
      </c>
    </row>
    <row r="13" spans="1:13" hidden="1">
      <c r="A13" s="10" t="s">
        <v>11</v>
      </c>
      <c r="B13" s="11" t="s">
        <v>23</v>
      </c>
    </row>
    <row r="14" spans="1:13" hidden="1">
      <c r="A14" s="10" t="s">
        <v>11</v>
      </c>
      <c r="B14" s="11" t="s">
        <v>24</v>
      </c>
    </row>
    <row r="15" spans="1:13" hidden="1">
      <c r="A15" s="10" t="s">
        <v>11</v>
      </c>
      <c r="B15" s="11" t="s">
        <v>25</v>
      </c>
    </row>
    <row r="16" spans="1:13" hidden="1">
      <c r="A16" s="10" t="s">
        <v>11</v>
      </c>
      <c r="B16" s="11" t="s">
        <v>26</v>
      </c>
    </row>
    <row r="17" spans="1:2" hidden="1">
      <c r="A17" s="10" t="s">
        <v>11</v>
      </c>
      <c r="B17" s="11" t="s">
        <v>27</v>
      </c>
    </row>
    <row r="18" spans="1:2" hidden="1">
      <c r="A18" s="10" t="s">
        <v>11</v>
      </c>
      <c r="B18" s="11" t="s">
        <v>28</v>
      </c>
    </row>
    <row r="19" spans="1:2" hidden="1">
      <c r="A19" s="10" t="s">
        <v>11</v>
      </c>
      <c r="B19" s="11" t="s">
        <v>29</v>
      </c>
    </row>
    <row r="20" spans="1:2" hidden="1">
      <c r="A20" s="10" t="s">
        <v>11</v>
      </c>
      <c r="B20" s="11" t="s">
        <v>30</v>
      </c>
    </row>
    <row r="21" spans="1:2" hidden="1">
      <c r="A21" s="10" t="s">
        <v>11</v>
      </c>
      <c r="B21" s="11" t="s">
        <v>31</v>
      </c>
    </row>
    <row r="22" spans="1:2" hidden="1">
      <c r="A22" s="10" t="s">
        <v>11</v>
      </c>
      <c r="B22" s="11" t="s">
        <v>32</v>
      </c>
    </row>
    <row r="23" spans="1:2" hidden="1">
      <c r="A23" s="10" t="s">
        <v>11</v>
      </c>
      <c r="B23" s="11" t="s">
        <v>33</v>
      </c>
    </row>
    <row r="24" spans="1:2" hidden="1">
      <c r="A24" s="10" t="s">
        <v>34</v>
      </c>
      <c r="B24" s="11" t="s">
        <v>12</v>
      </c>
    </row>
    <row r="25" spans="1:2" hidden="1">
      <c r="A25" s="10" t="s">
        <v>34</v>
      </c>
      <c r="B25" s="11" t="s">
        <v>13</v>
      </c>
    </row>
    <row r="26" spans="1:2" hidden="1">
      <c r="A26" s="10" t="s">
        <v>34</v>
      </c>
      <c r="B26" s="11" t="s">
        <v>14</v>
      </c>
    </row>
    <row r="27" spans="1:2" hidden="1">
      <c r="A27" s="10" t="s">
        <v>34</v>
      </c>
      <c r="B27" s="11" t="s">
        <v>15</v>
      </c>
    </row>
    <row r="28" spans="1:2" hidden="1">
      <c r="A28" s="10" t="s">
        <v>34</v>
      </c>
      <c r="B28" s="11" t="s">
        <v>16</v>
      </c>
    </row>
    <row r="29" spans="1:2" hidden="1">
      <c r="A29" s="10" t="s">
        <v>34</v>
      </c>
      <c r="B29" s="11" t="s">
        <v>17</v>
      </c>
    </row>
    <row r="30" spans="1:2" hidden="1">
      <c r="A30" s="10" t="s">
        <v>34</v>
      </c>
      <c r="B30" s="11" t="s">
        <v>18</v>
      </c>
    </row>
    <row r="31" spans="1:2" hidden="1">
      <c r="A31" s="10" t="s">
        <v>34</v>
      </c>
      <c r="B31" s="11" t="s">
        <v>19</v>
      </c>
    </row>
    <row r="32" spans="1:2" hidden="1">
      <c r="A32" s="10" t="s">
        <v>34</v>
      </c>
      <c r="B32" s="11" t="s">
        <v>20</v>
      </c>
    </row>
    <row r="33" spans="1:2">
      <c r="A33" s="10" t="s">
        <v>34</v>
      </c>
      <c r="B33" s="11" t="s">
        <v>21</v>
      </c>
    </row>
    <row r="34" spans="1:2" hidden="1">
      <c r="A34" s="10" t="s">
        <v>34</v>
      </c>
      <c r="B34" s="11" t="s">
        <v>22</v>
      </c>
    </row>
    <row r="35" spans="1:2" hidden="1">
      <c r="A35" s="10" t="s">
        <v>34</v>
      </c>
      <c r="B35" s="11" t="s">
        <v>23</v>
      </c>
    </row>
    <row r="36" spans="1:2" hidden="1">
      <c r="A36" s="10" t="s">
        <v>34</v>
      </c>
      <c r="B36" s="11" t="s">
        <v>24</v>
      </c>
    </row>
    <row r="37" spans="1:2" hidden="1">
      <c r="A37" s="10" t="s">
        <v>34</v>
      </c>
      <c r="B37" s="11" t="s">
        <v>25</v>
      </c>
    </row>
    <row r="38" spans="1:2" hidden="1">
      <c r="A38" s="10" t="s">
        <v>34</v>
      </c>
      <c r="B38" s="11" t="s">
        <v>26</v>
      </c>
    </row>
    <row r="39" spans="1:2" hidden="1">
      <c r="A39" s="10" t="s">
        <v>34</v>
      </c>
      <c r="B39" s="11" t="s">
        <v>27</v>
      </c>
    </row>
    <row r="40" spans="1:2" hidden="1">
      <c r="A40" s="10" t="s">
        <v>34</v>
      </c>
      <c r="B40" s="11" t="s">
        <v>28</v>
      </c>
    </row>
    <row r="41" spans="1:2" hidden="1">
      <c r="A41" s="10" t="s">
        <v>34</v>
      </c>
      <c r="B41" s="11" t="s">
        <v>29</v>
      </c>
    </row>
    <row r="42" spans="1:2" hidden="1">
      <c r="A42" s="10" t="s">
        <v>34</v>
      </c>
      <c r="B42" s="11" t="s">
        <v>30</v>
      </c>
    </row>
    <row r="43" spans="1:2" hidden="1">
      <c r="A43" s="10" t="s">
        <v>34</v>
      </c>
      <c r="B43" s="11" t="s">
        <v>31</v>
      </c>
    </row>
    <row r="44" spans="1:2" hidden="1">
      <c r="A44" s="10" t="s">
        <v>34</v>
      </c>
      <c r="B44" s="11" t="s">
        <v>32</v>
      </c>
    </row>
    <row r="45" spans="1:2" hidden="1">
      <c r="A45" s="10" t="s">
        <v>34</v>
      </c>
      <c r="B45" s="11" t="s">
        <v>33</v>
      </c>
    </row>
    <row r="46" spans="1:2" hidden="1">
      <c r="A46" s="10" t="s">
        <v>35</v>
      </c>
      <c r="B46" s="11" t="s">
        <v>12</v>
      </c>
    </row>
    <row r="47" spans="1:2" hidden="1">
      <c r="A47" s="10" t="s">
        <v>35</v>
      </c>
      <c r="B47" s="11" t="s">
        <v>13</v>
      </c>
    </row>
    <row r="48" spans="1:2" hidden="1">
      <c r="A48" s="10" t="s">
        <v>35</v>
      </c>
      <c r="B48" s="11" t="s">
        <v>14</v>
      </c>
    </row>
    <row r="49" spans="1:10" hidden="1">
      <c r="A49" s="10" t="s">
        <v>35</v>
      </c>
      <c r="B49" s="11" t="s">
        <v>15</v>
      </c>
    </row>
    <row r="50" spans="1:10" hidden="1">
      <c r="A50" s="10" t="s">
        <v>35</v>
      </c>
      <c r="B50" s="11" t="s">
        <v>16</v>
      </c>
    </row>
    <row r="51" spans="1:10" hidden="1">
      <c r="A51" s="10" t="s">
        <v>35</v>
      </c>
      <c r="B51" s="11" t="s">
        <v>17</v>
      </c>
    </row>
    <row r="52" spans="1:10" hidden="1">
      <c r="A52" s="10" t="s">
        <v>35</v>
      </c>
      <c r="B52" s="11" t="s">
        <v>18</v>
      </c>
    </row>
    <row r="53" spans="1:10" hidden="1">
      <c r="A53" s="10" t="s">
        <v>35</v>
      </c>
      <c r="B53" s="11" t="s">
        <v>19</v>
      </c>
      <c r="J53" s="5">
        <v>248</v>
      </c>
    </row>
    <row r="54" spans="1:10" hidden="1">
      <c r="A54" s="10" t="s">
        <v>35</v>
      </c>
      <c r="B54" s="11" t="s">
        <v>20</v>
      </c>
    </row>
    <row r="55" spans="1:10">
      <c r="A55" s="10" t="s">
        <v>35</v>
      </c>
      <c r="B55" s="11" t="s">
        <v>21</v>
      </c>
      <c r="J55" s="5">
        <v>1900</v>
      </c>
    </row>
    <row r="56" spans="1:10" hidden="1">
      <c r="A56" s="10" t="s">
        <v>35</v>
      </c>
      <c r="B56" s="11" t="s">
        <v>22</v>
      </c>
      <c r="J56" s="5">
        <v>332</v>
      </c>
    </row>
    <row r="57" spans="1:10" hidden="1">
      <c r="A57" s="10" t="s">
        <v>35</v>
      </c>
      <c r="B57" s="11" t="s">
        <v>23</v>
      </c>
    </row>
    <row r="58" spans="1:10" hidden="1">
      <c r="A58" s="10" t="s">
        <v>35</v>
      </c>
      <c r="B58" s="11" t="s">
        <v>24</v>
      </c>
      <c r="J58" s="5">
        <v>140</v>
      </c>
    </row>
    <row r="59" spans="1:10" hidden="1">
      <c r="A59" s="10" t="s">
        <v>35</v>
      </c>
      <c r="B59" s="11" t="s">
        <v>25</v>
      </c>
      <c r="J59" s="5">
        <v>140</v>
      </c>
    </row>
    <row r="60" spans="1:10" hidden="1">
      <c r="A60" s="10" t="s">
        <v>35</v>
      </c>
      <c r="B60" s="11" t="s">
        <v>26</v>
      </c>
    </row>
    <row r="61" spans="1:10" hidden="1">
      <c r="A61" s="10" t="s">
        <v>35</v>
      </c>
      <c r="B61" s="11" t="s">
        <v>27</v>
      </c>
    </row>
    <row r="62" spans="1:10" hidden="1">
      <c r="A62" s="10" t="s">
        <v>35</v>
      </c>
      <c r="B62" s="11" t="s">
        <v>28</v>
      </c>
    </row>
    <row r="63" spans="1:10" hidden="1">
      <c r="A63" s="10" t="s">
        <v>35</v>
      </c>
      <c r="B63" s="11" t="s">
        <v>29</v>
      </c>
    </row>
    <row r="64" spans="1:10" hidden="1">
      <c r="A64" s="10" t="s">
        <v>35</v>
      </c>
      <c r="B64" s="11" t="s">
        <v>30</v>
      </c>
    </row>
    <row r="65" spans="1:2" hidden="1">
      <c r="A65" s="10" t="s">
        <v>35</v>
      </c>
      <c r="B65" s="11" t="s">
        <v>31</v>
      </c>
    </row>
    <row r="66" spans="1:2" hidden="1">
      <c r="A66" s="10" t="s">
        <v>35</v>
      </c>
      <c r="B66" s="11" t="s">
        <v>32</v>
      </c>
    </row>
    <row r="67" spans="1:2" hidden="1">
      <c r="A67" s="10" t="s">
        <v>35</v>
      </c>
      <c r="B67" s="11" t="s">
        <v>33</v>
      </c>
    </row>
    <row r="68" spans="1:2" hidden="1">
      <c r="A68" s="10" t="s">
        <v>36</v>
      </c>
      <c r="B68" s="11" t="s">
        <v>12</v>
      </c>
    </row>
    <row r="69" spans="1:2" hidden="1">
      <c r="A69" s="10" t="s">
        <v>36</v>
      </c>
      <c r="B69" s="11" t="s">
        <v>13</v>
      </c>
    </row>
    <row r="70" spans="1:2" hidden="1">
      <c r="A70" s="10" t="s">
        <v>36</v>
      </c>
      <c r="B70" s="11" t="s">
        <v>14</v>
      </c>
    </row>
    <row r="71" spans="1:2" hidden="1">
      <c r="A71" s="10" t="s">
        <v>36</v>
      </c>
      <c r="B71" s="11" t="s">
        <v>15</v>
      </c>
    </row>
    <row r="72" spans="1:2" hidden="1">
      <c r="A72" s="10" t="s">
        <v>36</v>
      </c>
      <c r="B72" s="11" t="s">
        <v>16</v>
      </c>
    </row>
    <row r="73" spans="1:2" hidden="1">
      <c r="A73" s="10" t="s">
        <v>36</v>
      </c>
      <c r="B73" s="11" t="s">
        <v>17</v>
      </c>
    </row>
    <row r="74" spans="1:2" hidden="1">
      <c r="A74" s="10" t="s">
        <v>36</v>
      </c>
      <c r="B74" s="11" t="s">
        <v>18</v>
      </c>
    </row>
    <row r="75" spans="1:2" hidden="1">
      <c r="A75" s="10" t="s">
        <v>36</v>
      </c>
      <c r="B75" s="11" t="s">
        <v>19</v>
      </c>
    </row>
    <row r="76" spans="1:2" hidden="1">
      <c r="A76" s="10" t="s">
        <v>36</v>
      </c>
      <c r="B76" s="11" t="s">
        <v>20</v>
      </c>
    </row>
    <row r="77" spans="1:2">
      <c r="A77" s="10" t="s">
        <v>36</v>
      </c>
      <c r="B77" s="11" t="s">
        <v>21</v>
      </c>
    </row>
    <row r="78" spans="1:2" hidden="1">
      <c r="A78" s="10" t="s">
        <v>36</v>
      </c>
      <c r="B78" s="11" t="s">
        <v>22</v>
      </c>
    </row>
    <row r="79" spans="1:2" hidden="1">
      <c r="A79" s="10" t="s">
        <v>36</v>
      </c>
      <c r="B79" s="11" t="s">
        <v>23</v>
      </c>
    </row>
    <row r="80" spans="1:2" hidden="1">
      <c r="A80" s="10" t="s">
        <v>36</v>
      </c>
      <c r="B80" s="11" t="s">
        <v>24</v>
      </c>
    </row>
    <row r="81" spans="1:2" hidden="1">
      <c r="A81" s="10" t="s">
        <v>36</v>
      </c>
      <c r="B81" s="11" t="s">
        <v>25</v>
      </c>
    </row>
    <row r="82" spans="1:2" hidden="1">
      <c r="A82" s="10" t="s">
        <v>36</v>
      </c>
      <c r="B82" s="11" t="s">
        <v>26</v>
      </c>
    </row>
    <row r="83" spans="1:2" hidden="1">
      <c r="A83" s="10" t="s">
        <v>36</v>
      </c>
      <c r="B83" s="11" t="s">
        <v>27</v>
      </c>
    </row>
    <row r="84" spans="1:2" hidden="1">
      <c r="A84" s="10" t="s">
        <v>36</v>
      </c>
      <c r="B84" s="11" t="s">
        <v>28</v>
      </c>
    </row>
    <row r="85" spans="1:2" hidden="1">
      <c r="A85" s="10" t="s">
        <v>36</v>
      </c>
      <c r="B85" s="11" t="s">
        <v>29</v>
      </c>
    </row>
    <row r="86" spans="1:2" hidden="1">
      <c r="A86" s="10" t="s">
        <v>36</v>
      </c>
      <c r="B86" s="11" t="s">
        <v>30</v>
      </c>
    </row>
    <row r="87" spans="1:2" hidden="1">
      <c r="A87" s="10" t="s">
        <v>36</v>
      </c>
      <c r="B87" s="11" t="s">
        <v>31</v>
      </c>
    </row>
    <row r="88" spans="1:2" hidden="1">
      <c r="A88" s="10" t="s">
        <v>36</v>
      </c>
      <c r="B88" s="11" t="s">
        <v>32</v>
      </c>
    </row>
    <row r="89" spans="1:2" hidden="1">
      <c r="A89" s="10" t="s">
        <v>36</v>
      </c>
      <c r="B89" s="11" t="s">
        <v>33</v>
      </c>
    </row>
    <row r="90" spans="1:2" hidden="1">
      <c r="A90" s="10" t="s">
        <v>37</v>
      </c>
      <c r="B90" s="11" t="s">
        <v>12</v>
      </c>
    </row>
    <row r="91" spans="1:2" hidden="1">
      <c r="A91" s="10" t="s">
        <v>37</v>
      </c>
      <c r="B91" s="11" t="s">
        <v>13</v>
      </c>
    </row>
    <row r="92" spans="1:2" hidden="1">
      <c r="A92" s="10" t="s">
        <v>37</v>
      </c>
      <c r="B92" s="11" t="s">
        <v>14</v>
      </c>
    </row>
    <row r="93" spans="1:2" hidden="1">
      <c r="A93" s="10" t="s">
        <v>37</v>
      </c>
      <c r="B93" s="11" t="s">
        <v>15</v>
      </c>
    </row>
    <row r="94" spans="1:2" hidden="1">
      <c r="A94" s="10" t="s">
        <v>37</v>
      </c>
      <c r="B94" s="11" t="s">
        <v>16</v>
      </c>
    </row>
    <row r="95" spans="1:2" hidden="1">
      <c r="A95" s="10" t="s">
        <v>37</v>
      </c>
      <c r="B95" s="11" t="s">
        <v>17</v>
      </c>
    </row>
    <row r="96" spans="1:2" hidden="1">
      <c r="A96" s="10" t="s">
        <v>37</v>
      </c>
      <c r="B96" s="11" t="s">
        <v>18</v>
      </c>
    </row>
    <row r="97" spans="1:2" hidden="1">
      <c r="A97" s="10" t="s">
        <v>37</v>
      </c>
      <c r="B97" s="11" t="s">
        <v>19</v>
      </c>
    </row>
    <row r="98" spans="1:2" hidden="1">
      <c r="A98" s="10" t="s">
        <v>37</v>
      </c>
      <c r="B98" s="11" t="s">
        <v>20</v>
      </c>
    </row>
    <row r="99" spans="1:2">
      <c r="A99" s="10" t="s">
        <v>37</v>
      </c>
      <c r="B99" s="11" t="s">
        <v>21</v>
      </c>
    </row>
    <row r="100" spans="1:2" hidden="1">
      <c r="A100" s="10" t="s">
        <v>37</v>
      </c>
      <c r="B100" s="11" t="s">
        <v>22</v>
      </c>
    </row>
    <row r="101" spans="1:2" hidden="1">
      <c r="A101" s="10" t="s">
        <v>37</v>
      </c>
      <c r="B101" s="11" t="s">
        <v>23</v>
      </c>
    </row>
    <row r="102" spans="1:2" hidden="1">
      <c r="A102" s="10" t="s">
        <v>37</v>
      </c>
      <c r="B102" s="11" t="s">
        <v>24</v>
      </c>
    </row>
    <row r="103" spans="1:2" hidden="1">
      <c r="A103" s="10" t="s">
        <v>37</v>
      </c>
      <c r="B103" s="11" t="s">
        <v>25</v>
      </c>
    </row>
    <row r="104" spans="1:2" hidden="1">
      <c r="A104" s="10" t="s">
        <v>37</v>
      </c>
      <c r="B104" s="11" t="s">
        <v>26</v>
      </c>
    </row>
    <row r="105" spans="1:2" hidden="1">
      <c r="A105" s="10" t="s">
        <v>37</v>
      </c>
      <c r="B105" s="11" t="s">
        <v>27</v>
      </c>
    </row>
    <row r="106" spans="1:2" hidden="1">
      <c r="A106" s="10" t="s">
        <v>37</v>
      </c>
      <c r="B106" s="11" t="s">
        <v>28</v>
      </c>
    </row>
    <row r="107" spans="1:2" hidden="1">
      <c r="A107" s="10" t="s">
        <v>37</v>
      </c>
      <c r="B107" s="11" t="s">
        <v>29</v>
      </c>
    </row>
    <row r="108" spans="1:2" hidden="1">
      <c r="A108" s="10" t="s">
        <v>37</v>
      </c>
      <c r="B108" s="11" t="s">
        <v>30</v>
      </c>
    </row>
    <row r="109" spans="1:2" hidden="1">
      <c r="A109" s="10" t="s">
        <v>37</v>
      </c>
      <c r="B109" s="11" t="s">
        <v>31</v>
      </c>
    </row>
    <row r="110" spans="1:2" hidden="1">
      <c r="A110" s="10" t="s">
        <v>37</v>
      </c>
      <c r="B110" s="11" t="s">
        <v>32</v>
      </c>
    </row>
    <row r="111" spans="1:2" hidden="1">
      <c r="A111" s="10" t="s">
        <v>37</v>
      </c>
      <c r="B111" s="11" t="s">
        <v>33</v>
      </c>
    </row>
    <row r="112" spans="1:2" hidden="1">
      <c r="A112" s="10" t="s">
        <v>38</v>
      </c>
      <c r="B112" s="11" t="s">
        <v>12</v>
      </c>
    </row>
    <row r="113" spans="1:2" hidden="1">
      <c r="A113" s="10" t="s">
        <v>38</v>
      </c>
      <c r="B113" s="11" t="s">
        <v>13</v>
      </c>
    </row>
    <row r="114" spans="1:2" hidden="1">
      <c r="A114" s="10" t="s">
        <v>38</v>
      </c>
      <c r="B114" s="11" t="s">
        <v>14</v>
      </c>
    </row>
    <row r="115" spans="1:2" hidden="1">
      <c r="A115" s="10" t="s">
        <v>38</v>
      </c>
      <c r="B115" s="11" t="s">
        <v>15</v>
      </c>
    </row>
    <row r="116" spans="1:2" hidden="1">
      <c r="A116" s="10" t="s">
        <v>38</v>
      </c>
      <c r="B116" s="11" t="s">
        <v>16</v>
      </c>
    </row>
    <row r="117" spans="1:2" hidden="1">
      <c r="A117" s="10" t="s">
        <v>38</v>
      </c>
      <c r="B117" s="11" t="s">
        <v>17</v>
      </c>
    </row>
    <row r="118" spans="1:2" hidden="1">
      <c r="A118" s="10" t="s">
        <v>38</v>
      </c>
      <c r="B118" s="11" t="s">
        <v>18</v>
      </c>
    </row>
    <row r="119" spans="1:2" hidden="1">
      <c r="A119" s="10" t="s">
        <v>38</v>
      </c>
      <c r="B119" s="11" t="s">
        <v>19</v>
      </c>
    </row>
    <row r="120" spans="1:2" hidden="1">
      <c r="A120" s="10" t="s">
        <v>38</v>
      </c>
      <c r="B120" s="11" t="s">
        <v>20</v>
      </c>
    </row>
    <row r="121" spans="1:2">
      <c r="A121" s="10" t="s">
        <v>38</v>
      </c>
      <c r="B121" s="11" t="s">
        <v>21</v>
      </c>
    </row>
    <row r="122" spans="1:2" hidden="1">
      <c r="A122" s="10" t="s">
        <v>38</v>
      </c>
      <c r="B122" s="11" t="s">
        <v>22</v>
      </c>
    </row>
    <row r="123" spans="1:2" hidden="1">
      <c r="A123" s="10" t="s">
        <v>38</v>
      </c>
      <c r="B123" s="11" t="s">
        <v>23</v>
      </c>
    </row>
    <row r="124" spans="1:2" hidden="1">
      <c r="A124" s="10" t="s">
        <v>38</v>
      </c>
      <c r="B124" s="11" t="s">
        <v>24</v>
      </c>
    </row>
    <row r="125" spans="1:2" hidden="1">
      <c r="A125" s="10" t="s">
        <v>38</v>
      </c>
      <c r="B125" s="11" t="s">
        <v>25</v>
      </c>
    </row>
    <row r="126" spans="1:2" hidden="1">
      <c r="A126" s="10" t="s">
        <v>38</v>
      </c>
      <c r="B126" s="11" t="s">
        <v>26</v>
      </c>
    </row>
    <row r="127" spans="1:2" hidden="1">
      <c r="A127" s="10" t="s">
        <v>38</v>
      </c>
      <c r="B127" s="11" t="s">
        <v>27</v>
      </c>
    </row>
    <row r="128" spans="1:2" hidden="1">
      <c r="A128" s="10" t="s">
        <v>38</v>
      </c>
      <c r="B128" s="11" t="s">
        <v>28</v>
      </c>
    </row>
    <row r="129" spans="1:2" hidden="1">
      <c r="A129" s="10" t="s">
        <v>38</v>
      </c>
      <c r="B129" s="11" t="s">
        <v>29</v>
      </c>
    </row>
    <row r="130" spans="1:2" hidden="1">
      <c r="A130" s="10" t="s">
        <v>38</v>
      </c>
      <c r="B130" s="11" t="s">
        <v>30</v>
      </c>
    </row>
    <row r="131" spans="1:2" hidden="1">
      <c r="A131" s="10" t="s">
        <v>38</v>
      </c>
      <c r="B131" s="11" t="s">
        <v>31</v>
      </c>
    </row>
    <row r="132" spans="1:2" hidden="1">
      <c r="A132" s="10" t="s">
        <v>38</v>
      </c>
      <c r="B132" s="11" t="s">
        <v>32</v>
      </c>
    </row>
    <row r="133" spans="1:2" hidden="1">
      <c r="A133" s="10" t="s">
        <v>38</v>
      </c>
      <c r="B133" s="11" t="s">
        <v>33</v>
      </c>
    </row>
    <row r="134" spans="1:2" hidden="1">
      <c r="A134" s="10" t="s">
        <v>38</v>
      </c>
      <c r="B134" s="11" t="s">
        <v>33</v>
      </c>
    </row>
    <row r="135" spans="1:2" hidden="1">
      <c r="A135" s="10" t="s">
        <v>39</v>
      </c>
      <c r="B135" s="11" t="s">
        <v>12</v>
      </c>
    </row>
    <row r="136" spans="1:2" hidden="1">
      <c r="A136" s="10" t="s">
        <v>39</v>
      </c>
      <c r="B136" s="11" t="s">
        <v>13</v>
      </c>
    </row>
    <row r="137" spans="1:2" hidden="1">
      <c r="A137" s="10" t="s">
        <v>39</v>
      </c>
      <c r="B137" s="11" t="s">
        <v>14</v>
      </c>
    </row>
    <row r="138" spans="1:2" hidden="1">
      <c r="A138" s="10" t="s">
        <v>39</v>
      </c>
      <c r="B138" s="11" t="s">
        <v>15</v>
      </c>
    </row>
    <row r="139" spans="1:2" hidden="1">
      <c r="A139" s="10" t="s">
        <v>39</v>
      </c>
      <c r="B139" s="11" t="s">
        <v>16</v>
      </c>
    </row>
    <row r="140" spans="1:2" hidden="1">
      <c r="A140" s="10" t="s">
        <v>39</v>
      </c>
      <c r="B140" s="11" t="s">
        <v>17</v>
      </c>
    </row>
    <row r="141" spans="1:2" hidden="1">
      <c r="A141" s="10" t="s">
        <v>39</v>
      </c>
      <c r="B141" s="11" t="s">
        <v>18</v>
      </c>
    </row>
    <row r="142" spans="1:2" hidden="1">
      <c r="A142" s="10" t="s">
        <v>39</v>
      </c>
      <c r="B142" s="11" t="s">
        <v>19</v>
      </c>
    </row>
    <row r="143" spans="1:2" hidden="1">
      <c r="A143" s="10" t="s">
        <v>39</v>
      </c>
      <c r="B143" s="11" t="s">
        <v>20</v>
      </c>
    </row>
    <row r="144" spans="1:2">
      <c r="A144" s="10" t="s">
        <v>39</v>
      </c>
      <c r="B144" s="11" t="s">
        <v>21</v>
      </c>
    </row>
    <row r="145" spans="1:2" hidden="1">
      <c r="A145" s="10" t="s">
        <v>39</v>
      </c>
      <c r="B145" s="11" t="s">
        <v>22</v>
      </c>
    </row>
    <row r="146" spans="1:2" hidden="1">
      <c r="A146" s="10" t="s">
        <v>39</v>
      </c>
      <c r="B146" s="11" t="s">
        <v>23</v>
      </c>
    </row>
    <row r="147" spans="1:2" hidden="1">
      <c r="A147" s="10" t="s">
        <v>39</v>
      </c>
      <c r="B147" s="11" t="s">
        <v>24</v>
      </c>
    </row>
    <row r="148" spans="1:2" hidden="1">
      <c r="A148" s="10" t="s">
        <v>39</v>
      </c>
      <c r="B148" s="11" t="s">
        <v>25</v>
      </c>
    </row>
    <row r="149" spans="1:2" hidden="1">
      <c r="A149" s="10" t="s">
        <v>39</v>
      </c>
      <c r="B149" s="11" t="s">
        <v>26</v>
      </c>
    </row>
    <row r="150" spans="1:2" hidden="1">
      <c r="A150" s="10" t="s">
        <v>39</v>
      </c>
      <c r="B150" s="11" t="s">
        <v>27</v>
      </c>
    </row>
    <row r="151" spans="1:2" hidden="1">
      <c r="A151" s="10" t="s">
        <v>39</v>
      </c>
      <c r="B151" s="11" t="s">
        <v>28</v>
      </c>
    </row>
    <row r="152" spans="1:2" hidden="1">
      <c r="A152" s="10" t="s">
        <v>39</v>
      </c>
      <c r="B152" s="11" t="s">
        <v>29</v>
      </c>
    </row>
    <row r="153" spans="1:2" hidden="1">
      <c r="A153" s="10" t="s">
        <v>39</v>
      </c>
      <c r="B153" s="11" t="s">
        <v>30</v>
      </c>
    </row>
    <row r="154" spans="1:2" hidden="1">
      <c r="A154" s="10" t="s">
        <v>39</v>
      </c>
      <c r="B154" s="11" t="s">
        <v>31</v>
      </c>
    </row>
    <row r="155" spans="1:2" hidden="1">
      <c r="A155" s="10" t="s">
        <v>39</v>
      </c>
      <c r="B155" s="11" t="s">
        <v>32</v>
      </c>
    </row>
    <row r="156" spans="1:2" hidden="1">
      <c r="A156" s="10" t="s">
        <v>39</v>
      </c>
      <c r="B156" s="11" t="s">
        <v>33</v>
      </c>
    </row>
    <row r="157" spans="1:2" hidden="1">
      <c r="A157" s="10" t="s">
        <v>40</v>
      </c>
      <c r="B157" s="11" t="s">
        <v>12</v>
      </c>
    </row>
    <row r="158" spans="1:2" hidden="1">
      <c r="A158" s="10" t="s">
        <v>40</v>
      </c>
      <c r="B158" s="11" t="s">
        <v>13</v>
      </c>
    </row>
    <row r="159" spans="1:2" hidden="1">
      <c r="A159" s="10" t="s">
        <v>40</v>
      </c>
      <c r="B159" s="11" t="s">
        <v>14</v>
      </c>
    </row>
    <row r="160" spans="1:2" hidden="1">
      <c r="A160" s="10" t="s">
        <v>40</v>
      </c>
      <c r="B160" s="11" t="s">
        <v>15</v>
      </c>
    </row>
    <row r="161" spans="1:2" hidden="1">
      <c r="A161" s="10" t="s">
        <v>40</v>
      </c>
      <c r="B161" s="11" t="s">
        <v>16</v>
      </c>
    </row>
    <row r="162" spans="1:2" hidden="1">
      <c r="A162" s="10" t="s">
        <v>40</v>
      </c>
      <c r="B162" s="11" t="s">
        <v>17</v>
      </c>
    </row>
    <row r="163" spans="1:2" hidden="1">
      <c r="A163" s="10" t="s">
        <v>40</v>
      </c>
      <c r="B163" s="11" t="s">
        <v>18</v>
      </c>
    </row>
    <row r="164" spans="1:2" hidden="1">
      <c r="A164" s="10" t="s">
        <v>40</v>
      </c>
      <c r="B164" s="11" t="s">
        <v>19</v>
      </c>
    </row>
    <row r="165" spans="1:2" hidden="1">
      <c r="A165" s="10" t="s">
        <v>40</v>
      </c>
      <c r="B165" s="11" t="s">
        <v>20</v>
      </c>
    </row>
    <row r="166" spans="1:2">
      <c r="A166" s="10" t="s">
        <v>40</v>
      </c>
      <c r="B166" s="11" t="s">
        <v>21</v>
      </c>
    </row>
    <row r="167" spans="1:2" hidden="1">
      <c r="A167" s="10" t="s">
        <v>40</v>
      </c>
      <c r="B167" s="11" t="s">
        <v>22</v>
      </c>
    </row>
    <row r="168" spans="1:2" hidden="1">
      <c r="A168" s="10" t="s">
        <v>40</v>
      </c>
      <c r="B168" s="11" t="s">
        <v>23</v>
      </c>
    </row>
    <row r="169" spans="1:2" hidden="1">
      <c r="A169" s="10" t="s">
        <v>40</v>
      </c>
      <c r="B169" s="11" t="s">
        <v>24</v>
      </c>
    </row>
    <row r="170" spans="1:2" hidden="1">
      <c r="A170" s="10" t="s">
        <v>40</v>
      </c>
      <c r="B170" s="11" t="s">
        <v>25</v>
      </c>
    </row>
    <row r="171" spans="1:2" hidden="1">
      <c r="A171" s="10" t="s">
        <v>40</v>
      </c>
      <c r="B171" s="11" t="s">
        <v>26</v>
      </c>
    </row>
    <row r="172" spans="1:2" hidden="1">
      <c r="A172" s="10" t="s">
        <v>40</v>
      </c>
      <c r="B172" s="11" t="s">
        <v>27</v>
      </c>
    </row>
    <row r="173" spans="1:2" hidden="1">
      <c r="A173" s="10" t="s">
        <v>40</v>
      </c>
      <c r="B173" s="11" t="s">
        <v>28</v>
      </c>
    </row>
    <row r="174" spans="1:2" hidden="1">
      <c r="A174" s="10" t="s">
        <v>40</v>
      </c>
      <c r="B174" s="11" t="s">
        <v>29</v>
      </c>
    </row>
    <row r="175" spans="1:2" hidden="1">
      <c r="A175" s="10" t="s">
        <v>40</v>
      </c>
      <c r="B175" s="11" t="s">
        <v>30</v>
      </c>
    </row>
    <row r="176" spans="1:2" hidden="1">
      <c r="A176" s="10" t="s">
        <v>40</v>
      </c>
      <c r="B176" s="11" t="s">
        <v>31</v>
      </c>
    </row>
    <row r="177" spans="1:2" hidden="1">
      <c r="A177" s="10" t="s">
        <v>40</v>
      </c>
      <c r="B177" s="11" t="s">
        <v>32</v>
      </c>
    </row>
    <row r="178" spans="1:2" hidden="1">
      <c r="A178" s="10" t="s">
        <v>40</v>
      </c>
      <c r="B178" s="11" t="s">
        <v>33</v>
      </c>
    </row>
    <row r="179" spans="1:2" hidden="1">
      <c r="A179" s="10" t="s">
        <v>41</v>
      </c>
      <c r="B179" s="11" t="s">
        <v>12</v>
      </c>
    </row>
    <row r="180" spans="1:2" hidden="1">
      <c r="A180" s="10" t="s">
        <v>41</v>
      </c>
      <c r="B180" s="11" t="s">
        <v>13</v>
      </c>
    </row>
    <row r="181" spans="1:2" hidden="1">
      <c r="A181" s="10" t="s">
        <v>41</v>
      </c>
      <c r="B181" s="11" t="s">
        <v>14</v>
      </c>
    </row>
    <row r="182" spans="1:2" hidden="1">
      <c r="A182" s="10" t="s">
        <v>41</v>
      </c>
      <c r="B182" s="11" t="s">
        <v>15</v>
      </c>
    </row>
    <row r="183" spans="1:2" hidden="1">
      <c r="A183" s="10" t="s">
        <v>41</v>
      </c>
      <c r="B183" s="11" t="s">
        <v>16</v>
      </c>
    </row>
    <row r="184" spans="1:2" hidden="1">
      <c r="A184" s="10" t="s">
        <v>41</v>
      </c>
      <c r="B184" s="11" t="s">
        <v>17</v>
      </c>
    </row>
    <row r="185" spans="1:2" hidden="1">
      <c r="A185" s="10" t="s">
        <v>41</v>
      </c>
      <c r="B185" s="11" t="s">
        <v>18</v>
      </c>
    </row>
    <row r="186" spans="1:2" hidden="1">
      <c r="A186" s="10" t="s">
        <v>41</v>
      </c>
      <c r="B186" s="11" t="s">
        <v>19</v>
      </c>
    </row>
    <row r="187" spans="1:2" hidden="1">
      <c r="A187" s="10" t="s">
        <v>41</v>
      </c>
      <c r="B187" s="11" t="s">
        <v>20</v>
      </c>
    </row>
    <row r="188" spans="1:2">
      <c r="A188" s="10" t="s">
        <v>41</v>
      </c>
      <c r="B188" s="11" t="s">
        <v>21</v>
      </c>
    </row>
    <row r="189" spans="1:2" hidden="1">
      <c r="A189" s="10" t="s">
        <v>41</v>
      </c>
      <c r="B189" s="11" t="s">
        <v>22</v>
      </c>
    </row>
    <row r="190" spans="1:2" hidden="1">
      <c r="A190" s="10" t="s">
        <v>41</v>
      </c>
      <c r="B190" s="11" t="s">
        <v>23</v>
      </c>
    </row>
    <row r="191" spans="1:2" hidden="1">
      <c r="A191" s="10" t="s">
        <v>41</v>
      </c>
      <c r="B191" s="11" t="s">
        <v>24</v>
      </c>
    </row>
    <row r="192" spans="1:2" hidden="1">
      <c r="A192" s="10" t="s">
        <v>41</v>
      </c>
      <c r="B192" s="11" t="s">
        <v>25</v>
      </c>
    </row>
    <row r="193" spans="1:2" hidden="1">
      <c r="A193" s="10" t="s">
        <v>41</v>
      </c>
      <c r="B193" s="11" t="s">
        <v>26</v>
      </c>
    </row>
    <row r="194" spans="1:2" hidden="1">
      <c r="A194" s="10" t="s">
        <v>41</v>
      </c>
      <c r="B194" s="11" t="s">
        <v>27</v>
      </c>
    </row>
    <row r="195" spans="1:2" hidden="1">
      <c r="A195" s="10" t="s">
        <v>41</v>
      </c>
      <c r="B195" s="11" t="s">
        <v>28</v>
      </c>
    </row>
    <row r="196" spans="1:2" hidden="1">
      <c r="A196" s="10" t="s">
        <v>41</v>
      </c>
      <c r="B196" s="11" t="s">
        <v>29</v>
      </c>
    </row>
    <row r="197" spans="1:2" hidden="1">
      <c r="A197" s="10" t="s">
        <v>41</v>
      </c>
      <c r="B197" s="11" t="s">
        <v>30</v>
      </c>
    </row>
    <row r="198" spans="1:2" hidden="1">
      <c r="A198" s="10" t="s">
        <v>41</v>
      </c>
      <c r="B198" s="11" t="s">
        <v>31</v>
      </c>
    </row>
    <row r="199" spans="1:2" hidden="1">
      <c r="A199" s="10" t="s">
        <v>41</v>
      </c>
      <c r="B199" s="11" t="s">
        <v>32</v>
      </c>
    </row>
    <row r="200" spans="1:2" hidden="1">
      <c r="A200" s="10" t="s">
        <v>41</v>
      </c>
      <c r="B200" s="11" t="s">
        <v>33</v>
      </c>
    </row>
    <row r="201" spans="1:2" hidden="1">
      <c r="A201" s="10" t="s">
        <v>42</v>
      </c>
      <c r="B201" s="11" t="s">
        <v>12</v>
      </c>
    </row>
    <row r="202" spans="1:2" hidden="1">
      <c r="A202" s="10" t="s">
        <v>42</v>
      </c>
      <c r="B202" s="11" t="s">
        <v>13</v>
      </c>
    </row>
    <row r="203" spans="1:2" hidden="1">
      <c r="A203" s="10" t="s">
        <v>42</v>
      </c>
      <c r="B203" s="11" t="s">
        <v>14</v>
      </c>
    </row>
    <row r="204" spans="1:2" hidden="1">
      <c r="A204" s="10" t="s">
        <v>42</v>
      </c>
      <c r="B204" s="11" t="s">
        <v>15</v>
      </c>
    </row>
    <row r="205" spans="1:2" hidden="1">
      <c r="A205" s="10" t="s">
        <v>42</v>
      </c>
      <c r="B205" s="11" t="s">
        <v>16</v>
      </c>
    </row>
    <row r="206" spans="1:2" hidden="1">
      <c r="A206" s="10" t="s">
        <v>42</v>
      </c>
      <c r="B206" s="11" t="s">
        <v>17</v>
      </c>
    </row>
    <row r="207" spans="1:2" hidden="1">
      <c r="A207" s="10" t="s">
        <v>42</v>
      </c>
      <c r="B207" s="11" t="s">
        <v>18</v>
      </c>
    </row>
    <row r="208" spans="1:2" hidden="1">
      <c r="A208" s="10" t="s">
        <v>42</v>
      </c>
      <c r="B208" s="11" t="s">
        <v>19</v>
      </c>
    </row>
    <row r="209" spans="1:2" hidden="1">
      <c r="A209" s="10" t="s">
        <v>42</v>
      </c>
      <c r="B209" s="11" t="s">
        <v>20</v>
      </c>
    </row>
    <row r="210" spans="1:2">
      <c r="A210" s="10" t="s">
        <v>42</v>
      </c>
      <c r="B210" s="11" t="s">
        <v>21</v>
      </c>
    </row>
    <row r="211" spans="1:2" hidden="1">
      <c r="A211" s="10" t="s">
        <v>42</v>
      </c>
      <c r="B211" s="11" t="s">
        <v>22</v>
      </c>
    </row>
    <row r="212" spans="1:2" hidden="1">
      <c r="A212" s="10" t="s">
        <v>42</v>
      </c>
      <c r="B212" s="11" t="s">
        <v>23</v>
      </c>
    </row>
    <row r="213" spans="1:2" hidden="1">
      <c r="A213" s="10" t="s">
        <v>42</v>
      </c>
      <c r="B213" s="11" t="s">
        <v>24</v>
      </c>
    </row>
    <row r="214" spans="1:2" hidden="1">
      <c r="A214" s="10" t="s">
        <v>42</v>
      </c>
      <c r="B214" s="11" t="s">
        <v>25</v>
      </c>
    </row>
    <row r="215" spans="1:2" hidden="1">
      <c r="A215" s="10" t="s">
        <v>42</v>
      </c>
      <c r="B215" s="11" t="s">
        <v>26</v>
      </c>
    </row>
    <row r="216" spans="1:2" hidden="1">
      <c r="A216" s="10" t="s">
        <v>42</v>
      </c>
      <c r="B216" s="11" t="s">
        <v>27</v>
      </c>
    </row>
    <row r="217" spans="1:2" hidden="1">
      <c r="A217" s="10" t="s">
        <v>42</v>
      </c>
      <c r="B217" s="11" t="s">
        <v>28</v>
      </c>
    </row>
    <row r="218" spans="1:2" hidden="1">
      <c r="A218" s="10" t="s">
        <v>42</v>
      </c>
      <c r="B218" s="11" t="s">
        <v>29</v>
      </c>
    </row>
    <row r="219" spans="1:2" hidden="1">
      <c r="A219" s="10" t="s">
        <v>42</v>
      </c>
      <c r="B219" s="11" t="s">
        <v>30</v>
      </c>
    </row>
    <row r="220" spans="1:2" hidden="1">
      <c r="A220" s="10" t="s">
        <v>42</v>
      </c>
      <c r="B220" s="11" t="s">
        <v>31</v>
      </c>
    </row>
    <row r="221" spans="1:2" hidden="1">
      <c r="A221" s="10" t="s">
        <v>42</v>
      </c>
      <c r="B221" s="11" t="s">
        <v>32</v>
      </c>
    </row>
    <row r="222" spans="1:2" hidden="1">
      <c r="A222" s="10" t="s">
        <v>42</v>
      </c>
      <c r="B222" s="11" t="s">
        <v>33</v>
      </c>
    </row>
    <row r="223" spans="1:2" hidden="1">
      <c r="A223" s="10" t="s">
        <v>43</v>
      </c>
      <c r="B223" s="11" t="s">
        <v>12</v>
      </c>
    </row>
    <row r="224" spans="1:2" hidden="1">
      <c r="A224" s="10" t="s">
        <v>43</v>
      </c>
      <c r="B224" s="11" t="s">
        <v>13</v>
      </c>
    </row>
    <row r="225" spans="1:2" hidden="1">
      <c r="A225" s="10" t="s">
        <v>43</v>
      </c>
      <c r="B225" s="11" t="s">
        <v>14</v>
      </c>
    </row>
    <row r="226" spans="1:2" hidden="1">
      <c r="A226" s="10" t="s">
        <v>43</v>
      </c>
      <c r="B226" s="11" t="s">
        <v>15</v>
      </c>
    </row>
    <row r="227" spans="1:2" hidden="1">
      <c r="A227" s="10" t="s">
        <v>43</v>
      </c>
      <c r="B227" s="11" t="s">
        <v>16</v>
      </c>
    </row>
    <row r="228" spans="1:2" hidden="1">
      <c r="A228" s="10" t="s">
        <v>43</v>
      </c>
      <c r="B228" s="11" t="s">
        <v>17</v>
      </c>
    </row>
    <row r="229" spans="1:2" hidden="1">
      <c r="A229" s="10" t="s">
        <v>43</v>
      </c>
      <c r="B229" s="11" t="s">
        <v>18</v>
      </c>
    </row>
    <row r="230" spans="1:2" hidden="1">
      <c r="A230" s="10" t="s">
        <v>43</v>
      </c>
      <c r="B230" s="11" t="s">
        <v>19</v>
      </c>
    </row>
    <row r="231" spans="1:2" hidden="1">
      <c r="A231" s="10" t="s">
        <v>43</v>
      </c>
      <c r="B231" s="11" t="s">
        <v>20</v>
      </c>
    </row>
    <row r="232" spans="1:2">
      <c r="A232" s="10" t="s">
        <v>43</v>
      </c>
      <c r="B232" s="11" t="s">
        <v>21</v>
      </c>
    </row>
    <row r="233" spans="1:2" hidden="1">
      <c r="A233" s="10" t="s">
        <v>43</v>
      </c>
      <c r="B233" s="11" t="s">
        <v>22</v>
      </c>
    </row>
    <row r="234" spans="1:2" hidden="1">
      <c r="A234" s="10" t="s">
        <v>43</v>
      </c>
      <c r="B234" s="11" t="s">
        <v>23</v>
      </c>
    </row>
    <row r="235" spans="1:2" hidden="1">
      <c r="A235" s="10" t="s">
        <v>43</v>
      </c>
      <c r="B235" s="11" t="s">
        <v>24</v>
      </c>
    </row>
    <row r="236" spans="1:2" hidden="1">
      <c r="A236" s="10" t="s">
        <v>43</v>
      </c>
      <c r="B236" s="11" t="s">
        <v>25</v>
      </c>
    </row>
    <row r="237" spans="1:2" hidden="1">
      <c r="A237" s="10" t="s">
        <v>43</v>
      </c>
      <c r="B237" s="11" t="s">
        <v>26</v>
      </c>
    </row>
    <row r="238" spans="1:2" hidden="1">
      <c r="A238" s="10" t="s">
        <v>43</v>
      </c>
      <c r="B238" s="11" t="s">
        <v>27</v>
      </c>
    </row>
    <row r="239" spans="1:2" hidden="1">
      <c r="A239" s="10" t="s">
        <v>43</v>
      </c>
      <c r="B239" s="11" t="s">
        <v>28</v>
      </c>
    </row>
    <row r="240" spans="1:2" hidden="1">
      <c r="A240" s="10" t="s">
        <v>43</v>
      </c>
      <c r="B240" s="11" t="s">
        <v>29</v>
      </c>
    </row>
    <row r="241" spans="1:2" hidden="1">
      <c r="A241" s="10" t="s">
        <v>43</v>
      </c>
      <c r="B241" s="11" t="s">
        <v>30</v>
      </c>
    </row>
    <row r="242" spans="1:2" hidden="1">
      <c r="A242" s="10" t="s">
        <v>43</v>
      </c>
      <c r="B242" s="11" t="s">
        <v>31</v>
      </c>
    </row>
    <row r="243" spans="1:2" hidden="1">
      <c r="A243" s="10" t="s">
        <v>43</v>
      </c>
      <c r="B243" s="11" t="s">
        <v>32</v>
      </c>
    </row>
    <row r="244" spans="1:2" hidden="1">
      <c r="A244" s="10" t="s">
        <v>43</v>
      </c>
      <c r="B244" s="11" t="s">
        <v>33</v>
      </c>
    </row>
    <row r="245" spans="1:2" hidden="1">
      <c r="A245" s="10" t="s">
        <v>44</v>
      </c>
      <c r="B245" s="10" t="s">
        <v>12</v>
      </c>
    </row>
    <row r="246" spans="1:2" hidden="1">
      <c r="A246" s="10" t="s">
        <v>44</v>
      </c>
      <c r="B246" s="10" t="s">
        <v>13</v>
      </c>
    </row>
    <row r="247" spans="1:2" hidden="1">
      <c r="A247" s="10" t="s">
        <v>44</v>
      </c>
      <c r="B247" s="10" t="s">
        <v>14</v>
      </c>
    </row>
    <row r="248" spans="1:2" hidden="1">
      <c r="A248" s="10" t="s">
        <v>44</v>
      </c>
      <c r="B248" s="10" t="s">
        <v>15</v>
      </c>
    </row>
    <row r="249" spans="1:2" hidden="1">
      <c r="A249" s="10" t="s">
        <v>44</v>
      </c>
      <c r="B249" s="10" t="s">
        <v>16</v>
      </c>
    </row>
    <row r="250" spans="1:2" hidden="1">
      <c r="A250" s="10" t="s">
        <v>44</v>
      </c>
      <c r="B250" s="10" t="s">
        <v>17</v>
      </c>
    </row>
    <row r="251" spans="1:2" hidden="1">
      <c r="A251" s="10" t="s">
        <v>44</v>
      </c>
      <c r="B251" s="10" t="s">
        <v>18</v>
      </c>
    </row>
    <row r="252" spans="1:2" hidden="1">
      <c r="A252" s="10" t="s">
        <v>44</v>
      </c>
      <c r="B252" s="10" t="s">
        <v>19</v>
      </c>
    </row>
    <row r="253" spans="1:2" hidden="1">
      <c r="A253" s="10" t="s">
        <v>44</v>
      </c>
      <c r="B253" s="10" t="s">
        <v>20</v>
      </c>
    </row>
    <row r="254" spans="1:2">
      <c r="A254" s="10" t="s">
        <v>44</v>
      </c>
      <c r="B254" s="10" t="s">
        <v>21</v>
      </c>
    </row>
    <row r="255" spans="1:2" hidden="1">
      <c r="A255" s="10" t="s">
        <v>44</v>
      </c>
      <c r="B255" s="10" t="s">
        <v>22</v>
      </c>
    </row>
    <row r="256" spans="1:2" hidden="1">
      <c r="A256" s="10" t="s">
        <v>44</v>
      </c>
      <c r="B256" s="10" t="s">
        <v>23</v>
      </c>
    </row>
    <row r="257" spans="1:2" hidden="1">
      <c r="A257" s="10" t="s">
        <v>44</v>
      </c>
      <c r="B257" s="10" t="s">
        <v>24</v>
      </c>
    </row>
    <row r="258" spans="1:2" hidden="1">
      <c r="A258" s="10" t="s">
        <v>44</v>
      </c>
      <c r="B258" s="10" t="s">
        <v>25</v>
      </c>
    </row>
    <row r="259" spans="1:2" hidden="1">
      <c r="A259" s="10" t="s">
        <v>44</v>
      </c>
      <c r="B259" s="10" t="s">
        <v>26</v>
      </c>
    </row>
    <row r="260" spans="1:2" hidden="1">
      <c r="A260" s="10" t="s">
        <v>44</v>
      </c>
      <c r="B260" s="10" t="s">
        <v>27</v>
      </c>
    </row>
    <row r="261" spans="1:2" hidden="1">
      <c r="A261" s="10" t="s">
        <v>44</v>
      </c>
      <c r="B261" s="10" t="s">
        <v>28</v>
      </c>
    </row>
    <row r="262" spans="1:2" hidden="1">
      <c r="A262" s="10" t="s">
        <v>44</v>
      </c>
      <c r="B262" s="10" t="s">
        <v>29</v>
      </c>
    </row>
    <row r="263" spans="1:2" hidden="1">
      <c r="A263" s="10" t="s">
        <v>44</v>
      </c>
      <c r="B263" s="10" t="s">
        <v>30</v>
      </c>
    </row>
    <row r="264" spans="1:2" hidden="1">
      <c r="A264" s="10" t="s">
        <v>44</v>
      </c>
      <c r="B264" s="10" t="s">
        <v>31</v>
      </c>
    </row>
    <row r="265" spans="1:2" hidden="1">
      <c r="A265" s="10" t="s">
        <v>44</v>
      </c>
      <c r="B265" s="10" t="s">
        <v>32</v>
      </c>
    </row>
    <row r="266" spans="1:2" hidden="1">
      <c r="A266" s="10" t="s">
        <v>44</v>
      </c>
      <c r="B266" s="10" t="s">
        <v>33</v>
      </c>
    </row>
    <row r="267" spans="1:2" hidden="1">
      <c r="A267" s="10" t="s">
        <v>45</v>
      </c>
      <c r="B267" s="10" t="s">
        <v>12</v>
      </c>
    </row>
    <row r="268" spans="1:2" hidden="1">
      <c r="A268" s="10" t="s">
        <v>45</v>
      </c>
      <c r="B268" s="10" t="s">
        <v>13</v>
      </c>
    </row>
    <row r="269" spans="1:2" hidden="1">
      <c r="A269" s="10" t="s">
        <v>45</v>
      </c>
      <c r="B269" s="10" t="s">
        <v>14</v>
      </c>
    </row>
    <row r="270" spans="1:2" hidden="1">
      <c r="A270" s="10" t="s">
        <v>45</v>
      </c>
      <c r="B270" s="10" t="s">
        <v>15</v>
      </c>
    </row>
    <row r="271" spans="1:2" hidden="1">
      <c r="A271" s="10" t="s">
        <v>45</v>
      </c>
      <c r="B271" s="10" t="s">
        <v>16</v>
      </c>
    </row>
    <row r="272" spans="1:2" hidden="1">
      <c r="A272" s="10" t="s">
        <v>45</v>
      </c>
      <c r="B272" s="10" t="s">
        <v>17</v>
      </c>
    </row>
    <row r="273" spans="1:2" hidden="1">
      <c r="A273" s="10" t="s">
        <v>45</v>
      </c>
      <c r="B273" s="10" t="s">
        <v>18</v>
      </c>
    </row>
    <row r="274" spans="1:2" hidden="1">
      <c r="A274" s="10" t="s">
        <v>45</v>
      </c>
      <c r="B274" s="10" t="s">
        <v>19</v>
      </c>
    </row>
    <row r="275" spans="1:2" hidden="1">
      <c r="A275" s="10" t="s">
        <v>45</v>
      </c>
      <c r="B275" s="10" t="s">
        <v>20</v>
      </c>
    </row>
    <row r="276" spans="1:2">
      <c r="A276" s="10" t="s">
        <v>45</v>
      </c>
      <c r="B276" s="10" t="s">
        <v>21</v>
      </c>
    </row>
    <row r="277" spans="1:2" hidden="1">
      <c r="A277" s="10" t="s">
        <v>45</v>
      </c>
      <c r="B277" s="10" t="s">
        <v>22</v>
      </c>
    </row>
    <row r="278" spans="1:2" hidden="1">
      <c r="A278" s="10" t="s">
        <v>45</v>
      </c>
      <c r="B278" s="10" t="s">
        <v>23</v>
      </c>
    </row>
    <row r="279" spans="1:2" hidden="1">
      <c r="A279" s="10" t="s">
        <v>45</v>
      </c>
      <c r="B279" s="10" t="s">
        <v>24</v>
      </c>
    </row>
    <row r="280" spans="1:2" hidden="1">
      <c r="A280" s="10" t="s">
        <v>45</v>
      </c>
      <c r="B280" s="10" t="s">
        <v>25</v>
      </c>
    </row>
    <row r="281" spans="1:2" hidden="1">
      <c r="A281" s="10" t="s">
        <v>45</v>
      </c>
      <c r="B281" s="10" t="s">
        <v>26</v>
      </c>
    </row>
    <row r="282" spans="1:2" hidden="1">
      <c r="A282" s="10" t="s">
        <v>45</v>
      </c>
      <c r="B282" s="10" t="s">
        <v>27</v>
      </c>
    </row>
    <row r="283" spans="1:2" hidden="1">
      <c r="A283" s="10" t="s">
        <v>45</v>
      </c>
      <c r="B283" s="10" t="s">
        <v>28</v>
      </c>
    </row>
    <row r="284" spans="1:2" hidden="1">
      <c r="A284" s="10" t="s">
        <v>45</v>
      </c>
      <c r="B284" s="10" t="s">
        <v>29</v>
      </c>
    </row>
    <row r="285" spans="1:2" hidden="1">
      <c r="A285" s="10" t="s">
        <v>45</v>
      </c>
      <c r="B285" s="10" t="s">
        <v>30</v>
      </c>
    </row>
    <row r="286" spans="1:2" hidden="1">
      <c r="A286" s="10" t="s">
        <v>45</v>
      </c>
      <c r="B286" s="10" t="s">
        <v>31</v>
      </c>
    </row>
    <row r="287" spans="1:2" hidden="1">
      <c r="A287" s="10" t="s">
        <v>45</v>
      </c>
      <c r="B287" s="10" t="s">
        <v>32</v>
      </c>
    </row>
    <row r="288" spans="1:2" hidden="1">
      <c r="A288" s="10" t="s">
        <v>45</v>
      </c>
      <c r="B288" s="10" t="s">
        <v>33</v>
      </c>
    </row>
    <row r="289" spans="1:2" hidden="1">
      <c r="A289" s="10" t="s">
        <v>46</v>
      </c>
      <c r="B289" s="11" t="s">
        <v>12</v>
      </c>
    </row>
    <row r="290" spans="1:2" hidden="1">
      <c r="A290" s="10" t="s">
        <v>46</v>
      </c>
      <c r="B290" s="11" t="s">
        <v>13</v>
      </c>
    </row>
    <row r="291" spans="1:2" hidden="1">
      <c r="A291" s="10" t="s">
        <v>46</v>
      </c>
      <c r="B291" s="11" t="s">
        <v>14</v>
      </c>
    </row>
    <row r="292" spans="1:2" hidden="1">
      <c r="A292" s="10" t="s">
        <v>46</v>
      </c>
      <c r="B292" s="11" t="s">
        <v>15</v>
      </c>
    </row>
    <row r="293" spans="1:2" hidden="1">
      <c r="A293" s="10" t="s">
        <v>46</v>
      </c>
      <c r="B293" s="11" t="s">
        <v>16</v>
      </c>
    </row>
    <row r="294" spans="1:2" hidden="1">
      <c r="A294" s="10" t="s">
        <v>46</v>
      </c>
      <c r="B294" s="11" t="s">
        <v>17</v>
      </c>
    </row>
    <row r="295" spans="1:2" hidden="1">
      <c r="A295" s="10" t="s">
        <v>46</v>
      </c>
      <c r="B295" s="11" t="s">
        <v>18</v>
      </c>
    </row>
    <row r="296" spans="1:2" hidden="1">
      <c r="A296" s="10" t="s">
        <v>46</v>
      </c>
      <c r="B296" s="11" t="s">
        <v>19</v>
      </c>
    </row>
    <row r="297" spans="1:2" hidden="1">
      <c r="A297" s="10" t="s">
        <v>46</v>
      </c>
      <c r="B297" s="11" t="s">
        <v>20</v>
      </c>
    </row>
    <row r="298" spans="1:2">
      <c r="A298" s="10" t="s">
        <v>46</v>
      </c>
      <c r="B298" s="11" t="s">
        <v>21</v>
      </c>
    </row>
    <row r="299" spans="1:2" hidden="1">
      <c r="A299" s="10" t="s">
        <v>46</v>
      </c>
      <c r="B299" s="11" t="s">
        <v>22</v>
      </c>
    </row>
    <row r="300" spans="1:2" hidden="1">
      <c r="A300" s="10" t="s">
        <v>46</v>
      </c>
      <c r="B300" s="11" t="s">
        <v>23</v>
      </c>
    </row>
    <row r="301" spans="1:2" hidden="1">
      <c r="A301" s="10" t="s">
        <v>46</v>
      </c>
      <c r="B301" s="11" t="s">
        <v>24</v>
      </c>
    </row>
    <row r="302" spans="1:2" hidden="1">
      <c r="A302" s="10" t="s">
        <v>46</v>
      </c>
      <c r="B302" s="11" t="s">
        <v>25</v>
      </c>
    </row>
    <row r="303" spans="1:2" hidden="1">
      <c r="A303" s="10" t="s">
        <v>46</v>
      </c>
      <c r="B303" s="11" t="s">
        <v>26</v>
      </c>
    </row>
    <row r="304" spans="1:2" hidden="1">
      <c r="A304" s="10" t="s">
        <v>46</v>
      </c>
      <c r="B304" s="11" t="s">
        <v>27</v>
      </c>
    </row>
    <row r="305" spans="1:2" hidden="1">
      <c r="A305" s="10" t="s">
        <v>46</v>
      </c>
      <c r="B305" s="11" t="s">
        <v>28</v>
      </c>
    </row>
    <row r="306" spans="1:2" hidden="1">
      <c r="A306" s="10" t="s">
        <v>46</v>
      </c>
      <c r="B306" s="11" t="s">
        <v>29</v>
      </c>
    </row>
    <row r="307" spans="1:2" hidden="1">
      <c r="A307" s="10" t="s">
        <v>46</v>
      </c>
      <c r="B307" s="11" t="s">
        <v>30</v>
      </c>
    </row>
    <row r="308" spans="1:2" hidden="1">
      <c r="A308" s="10" t="s">
        <v>46</v>
      </c>
      <c r="B308" s="11" t="s">
        <v>31</v>
      </c>
    </row>
    <row r="309" spans="1:2" hidden="1">
      <c r="A309" s="10" t="s">
        <v>46</v>
      </c>
      <c r="B309" s="11" t="s">
        <v>32</v>
      </c>
    </row>
    <row r="310" spans="1:2" hidden="1">
      <c r="A310" s="10" t="s">
        <v>46</v>
      </c>
      <c r="B310" s="11" t="s">
        <v>33</v>
      </c>
    </row>
    <row r="311" spans="1:2" hidden="1">
      <c r="A311" s="10" t="s">
        <v>47</v>
      </c>
      <c r="B311" s="11" t="s">
        <v>12</v>
      </c>
    </row>
    <row r="312" spans="1:2" hidden="1">
      <c r="A312" s="10" t="s">
        <v>47</v>
      </c>
      <c r="B312" s="11" t="s">
        <v>13</v>
      </c>
    </row>
    <row r="313" spans="1:2" hidden="1">
      <c r="A313" s="10" t="s">
        <v>47</v>
      </c>
      <c r="B313" s="11" t="s">
        <v>14</v>
      </c>
    </row>
    <row r="314" spans="1:2" hidden="1">
      <c r="A314" s="10" t="s">
        <v>47</v>
      </c>
      <c r="B314" s="11" t="s">
        <v>15</v>
      </c>
    </row>
    <row r="315" spans="1:2" hidden="1">
      <c r="A315" s="10" t="s">
        <v>47</v>
      </c>
      <c r="B315" s="11" t="s">
        <v>16</v>
      </c>
    </row>
    <row r="316" spans="1:2" hidden="1">
      <c r="A316" s="10" t="s">
        <v>47</v>
      </c>
      <c r="B316" s="11" t="s">
        <v>17</v>
      </c>
    </row>
    <row r="317" spans="1:2" hidden="1">
      <c r="A317" s="10" t="s">
        <v>47</v>
      </c>
      <c r="B317" s="11" t="s">
        <v>18</v>
      </c>
    </row>
    <row r="318" spans="1:2" hidden="1">
      <c r="A318" s="10" t="s">
        <v>47</v>
      </c>
      <c r="B318" s="11" t="s">
        <v>19</v>
      </c>
    </row>
    <row r="319" spans="1:2" hidden="1">
      <c r="A319" s="10" t="s">
        <v>47</v>
      </c>
      <c r="B319" s="11" t="s">
        <v>20</v>
      </c>
    </row>
    <row r="320" spans="1:2">
      <c r="A320" s="10" t="s">
        <v>47</v>
      </c>
      <c r="B320" s="11" t="s">
        <v>21</v>
      </c>
    </row>
    <row r="321" spans="1:11" hidden="1">
      <c r="A321" s="10" t="s">
        <v>47</v>
      </c>
      <c r="B321" s="11" t="s">
        <v>22</v>
      </c>
    </row>
    <row r="322" spans="1:11" hidden="1">
      <c r="A322" s="10" t="s">
        <v>47</v>
      </c>
      <c r="B322" s="11" t="s">
        <v>23</v>
      </c>
    </row>
    <row r="323" spans="1:11" hidden="1">
      <c r="A323" s="10" t="s">
        <v>47</v>
      </c>
      <c r="B323" s="11" t="s">
        <v>24</v>
      </c>
    </row>
    <row r="324" spans="1:11" hidden="1">
      <c r="A324" s="10" t="s">
        <v>47</v>
      </c>
      <c r="B324" s="11" t="s">
        <v>25</v>
      </c>
    </row>
    <row r="325" spans="1:11" hidden="1">
      <c r="A325" s="10" t="s">
        <v>47</v>
      </c>
      <c r="B325" s="11" t="s">
        <v>26</v>
      </c>
    </row>
    <row r="326" spans="1:11" hidden="1">
      <c r="A326" s="10" t="s">
        <v>47</v>
      </c>
      <c r="B326" s="11" t="s">
        <v>27</v>
      </c>
    </row>
    <row r="327" spans="1:11" hidden="1">
      <c r="A327" s="10" t="s">
        <v>47</v>
      </c>
      <c r="B327" s="11" t="s">
        <v>28</v>
      </c>
    </row>
    <row r="328" spans="1:11" hidden="1">
      <c r="A328" s="10" t="s">
        <v>47</v>
      </c>
      <c r="B328" s="11" t="s">
        <v>29</v>
      </c>
    </row>
    <row r="329" spans="1:11" hidden="1">
      <c r="A329" s="10" t="s">
        <v>47</v>
      </c>
      <c r="B329" s="11" t="s">
        <v>30</v>
      </c>
    </row>
    <row r="330" spans="1:11" hidden="1">
      <c r="A330" s="10" t="s">
        <v>47</v>
      </c>
      <c r="B330" s="11" t="s">
        <v>31</v>
      </c>
    </row>
    <row r="331" spans="1:11" hidden="1">
      <c r="A331" s="10" t="s">
        <v>47</v>
      </c>
      <c r="B331" s="11" t="s">
        <v>32</v>
      </c>
    </row>
    <row r="332" spans="1:11" hidden="1">
      <c r="A332" s="10" t="s">
        <v>47</v>
      </c>
      <c r="B332" s="11" t="s">
        <v>33</v>
      </c>
    </row>
    <row r="333" spans="1:11" hidden="1">
      <c r="A333" s="14" t="s">
        <v>48</v>
      </c>
      <c r="B333" s="11" t="s">
        <v>12</v>
      </c>
      <c r="E333" s="5">
        <v>13</v>
      </c>
      <c r="K333" s="5">
        <v>13</v>
      </c>
    </row>
    <row r="334" spans="1:11" hidden="1">
      <c r="A334" s="14" t="s">
        <v>48</v>
      </c>
      <c r="B334" s="11" t="s">
        <v>13</v>
      </c>
    </row>
    <row r="335" spans="1:11" hidden="1">
      <c r="A335" s="14" t="s">
        <v>48</v>
      </c>
      <c r="B335" s="11" t="s">
        <v>14</v>
      </c>
      <c r="D335" s="18">
        <v>46</v>
      </c>
      <c r="E335" s="18">
        <v>55</v>
      </c>
      <c r="F335" s="15"/>
      <c r="G335" s="15"/>
      <c r="H335" s="15"/>
      <c r="K335" s="5">
        <v>55</v>
      </c>
    </row>
    <row r="336" spans="1:11" hidden="1">
      <c r="A336" s="14" t="s">
        <v>48</v>
      </c>
      <c r="B336" s="11" t="s">
        <v>15</v>
      </c>
      <c r="D336" s="18"/>
      <c r="E336" s="18"/>
      <c r="F336" s="15"/>
      <c r="G336" s="15"/>
      <c r="H336" s="15"/>
    </row>
    <row r="337" spans="1:11" hidden="1">
      <c r="A337" s="14" t="s">
        <v>48</v>
      </c>
      <c r="B337" s="11" t="s">
        <v>16</v>
      </c>
      <c r="D337" s="5">
        <v>86</v>
      </c>
      <c r="E337" s="5">
        <v>185</v>
      </c>
      <c r="K337" s="5">
        <v>185</v>
      </c>
    </row>
    <row r="338" spans="1:11" hidden="1">
      <c r="A338" s="14" t="s">
        <v>48</v>
      </c>
      <c r="B338" s="11" t="s">
        <v>17</v>
      </c>
      <c r="D338" s="5">
        <v>458</v>
      </c>
      <c r="E338" s="5">
        <v>612</v>
      </c>
      <c r="K338" s="5">
        <v>612</v>
      </c>
    </row>
    <row r="339" spans="1:11" hidden="1">
      <c r="A339" s="14" t="s">
        <v>48</v>
      </c>
      <c r="B339" s="11" t="s">
        <v>18</v>
      </c>
    </row>
    <row r="340" spans="1:11" hidden="1">
      <c r="A340" s="14" t="s">
        <v>48</v>
      </c>
      <c r="B340" s="11" t="s">
        <v>19</v>
      </c>
      <c r="D340" s="5">
        <v>473</v>
      </c>
      <c r="E340" s="5">
        <v>573</v>
      </c>
      <c r="K340" s="5">
        <v>1220</v>
      </c>
    </row>
    <row r="341" spans="1:11" hidden="1">
      <c r="A341" s="14" t="s">
        <v>48</v>
      </c>
      <c r="B341" s="11" t="s">
        <v>20</v>
      </c>
    </row>
    <row r="342" spans="1:11">
      <c r="A342" s="14" t="s">
        <v>48</v>
      </c>
      <c r="B342" s="11" t="s">
        <v>21</v>
      </c>
      <c r="D342" s="5">
        <f>2217+617</f>
        <v>2834</v>
      </c>
      <c r="E342" s="5">
        <f>1841+798</f>
        <v>2639</v>
      </c>
      <c r="K342" s="5">
        <f>2316+798</f>
        <v>3114</v>
      </c>
    </row>
    <row r="343" spans="1:11" hidden="1">
      <c r="A343" s="14" t="s">
        <v>48</v>
      </c>
      <c r="B343" s="11" t="s">
        <v>22</v>
      </c>
      <c r="D343" s="5">
        <v>217</v>
      </c>
      <c r="E343" s="5">
        <v>319</v>
      </c>
      <c r="K343" s="5">
        <v>517</v>
      </c>
    </row>
    <row r="344" spans="1:11" hidden="1">
      <c r="A344" s="14" t="s">
        <v>48</v>
      </c>
      <c r="B344" s="11" t="s">
        <v>23</v>
      </c>
    </row>
    <row r="345" spans="1:11" hidden="1">
      <c r="A345" s="14" t="s">
        <v>48</v>
      </c>
      <c r="B345" s="11" t="s">
        <v>24</v>
      </c>
      <c r="D345" s="5">
        <v>1917</v>
      </c>
      <c r="E345" s="5">
        <v>1937</v>
      </c>
      <c r="K345" s="5">
        <v>1937</v>
      </c>
    </row>
    <row r="346" spans="1:11" hidden="1">
      <c r="A346" s="14" t="s">
        <v>48</v>
      </c>
      <c r="B346" s="11" t="s">
        <v>25</v>
      </c>
      <c r="D346" s="5">
        <f>2104+1375</f>
        <v>3479</v>
      </c>
      <c r="E346" s="5">
        <f>2799+1375</f>
        <v>4174</v>
      </c>
    </row>
    <row r="347" spans="1:11" hidden="1">
      <c r="A347" s="14" t="s">
        <v>48</v>
      </c>
      <c r="B347" s="11" t="s">
        <v>26</v>
      </c>
      <c r="D347" s="5">
        <v>113</v>
      </c>
      <c r="E347" s="5">
        <v>135</v>
      </c>
      <c r="K347" s="5">
        <v>135</v>
      </c>
    </row>
    <row r="348" spans="1:11" hidden="1">
      <c r="A348" s="14" t="s">
        <v>48</v>
      </c>
      <c r="B348" s="11" t="s">
        <v>27</v>
      </c>
    </row>
    <row r="349" spans="1:11" hidden="1">
      <c r="A349" s="14" t="s">
        <v>48</v>
      </c>
      <c r="B349" s="11" t="s">
        <v>28</v>
      </c>
    </row>
    <row r="350" spans="1:11" hidden="1">
      <c r="A350" s="14" t="s">
        <v>48</v>
      </c>
      <c r="B350" s="11" t="s">
        <v>29</v>
      </c>
    </row>
    <row r="351" spans="1:11" hidden="1">
      <c r="A351" s="14" t="s">
        <v>48</v>
      </c>
      <c r="B351" s="11" t="s">
        <v>30</v>
      </c>
    </row>
    <row r="352" spans="1:11" hidden="1">
      <c r="A352" s="14" t="s">
        <v>48</v>
      </c>
      <c r="B352" s="11" t="s">
        <v>31</v>
      </c>
      <c r="D352" s="5">
        <v>96</v>
      </c>
      <c r="E352" s="5">
        <v>93</v>
      </c>
      <c r="K352" s="5">
        <v>130</v>
      </c>
    </row>
    <row r="353" spans="1:2" hidden="1">
      <c r="A353" s="14" t="s">
        <v>48</v>
      </c>
      <c r="B353" s="11" t="s">
        <v>32</v>
      </c>
    </row>
    <row r="354" spans="1:2" hidden="1">
      <c r="A354" s="14" t="s">
        <v>48</v>
      </c>
      <c r="B354" s="11" t="s">
        <v>33</v>
      </c>
    </row>
    <row r="355" spans="1:2" hidden="1">
      <c r="A355" s="10" t="s">
        <v>49</v>
      </c>
      <c r="B355" s="11" t="s">
        <v>12</v>
      </c>
    </row>
    <row r="356" spans="1:2" hidden="1">
      <c r="A356" s="10" t="s">
        <v>49</v>
      </c>
      <c r="B356" s="11" t="s">
        <v>13</v>
      </c>
    </row>
    <row r="357" spans="1:2" hidden="1">
      <c r="A357" s="10" t="s">
        <v>49</v>
      </c>
      <c r="B357" s="11" t="s">
        <v>14</v>
      </c>
    </row>
    <row r="358" spans="1:2" hidden="1">
      <c r="A358" s="10" t="s">
        <v>49</v>
      </c>
      <c r="B358" s="11" t="s">
        <v>15</v>
      </c>
    </row>
    <row r="359" spans="1:2" hidden="1">
      <c r="A359" s="10" t="s">
        <v>49</v>
      </c>
      <c r="B359" s="11" t="s">
        <v>16</v>
      </c>
    </row>
    <row r="360" spans="1:2" hidden="1">
      <c r="A360" s="10" t="s">
        <v>49</v>
      </c>
      <c r="B360" s="11" t="s">
        <v>17</v>
      </c>
    </row>
    <row r="361" spans="1:2" hidden="1">
      <c r="A361" s="10" t="s">
        <v>49</v>
      </c>
      <c r="B361" s="11" t="s">
        <v>18</v>
      </c>
    </row>
    <row r="362" spans="1:2" hidden="1">
      <c r="A362" s="10" t="s">
        <v>49</v>
      </c>
      <c r="B362" s="11" t="s">
        <v>19</v>
      </c>
    </row>
    <row r="363" spans="1:2" hidden="1">
      <c r="A363" s="10" t="s">
        <v>49</v>
      </c>
      <c r="B363" s="11" t="s">
        <v>20</v>
      </c>
    </row>
    <row r="364" spans="1:2">
      <c r="A364" s="10" t="s">
        <v>49</v>
      </c>
      <c r="B364" s="11" t="s">
        <v>21</v>
      </c>
    </row>
    <row r="365" spans="1:2" hidden="1">
      <c r="A365" s="10" t="s">
        <v>49</v>
      </c>
      <c r="B365" s="11" t="s">
        <v>22</v>
      </c>
    </row>
    <row r="366" spans="1:2" hidden="1">
      <c r="A366" s="10" t="s">
        <v>49</v>
      </c>
      <c r="B366" s="11" t="s">
        <v>23</v>
      </c>
    </row>
    <row r="367" spans="1:2" hidden="1">
      <c r="A367" s="10" t="s">
        <v>49</v>
      </c>
      <c r="B367" s="11" t="s">
        <v>24</v>
      </c>
    </row>
    <row r="368" spans="1:2" hidden="1">
      <c r="A368" s="10" t="s">
        <v>49</v>
      </c>
      <c r="B368" s="11" t="s">
        <v>25</v>
      </c>
    </row>
    <row r="369" spans="1:2" hidden="1">
      <c r="A369" s="10" t="s">
        <v>49</v>
      </c>
      <c r="B369" s="11" t="s">
        <v>26</v>
      </c>
    </row>
    <row r="370" spans="1:2" hidden="1">
      <c r="A370" s="10" t="s">
        <v>49</v>
      </c>
      <c r="B370" s="11" t="s">
        <v>27</v>
      </c>
    </row>
    <row r="371" spans="1:2" hidden="1">
      <c r="A371" s="10" t="s">
        <v>49</v>
      </c>
      <c r="B371" s="11" t="s">
        <v>28</v>
      </c>
    </row>
    <row r="372" spans="1:2" hidden="1">
      <c r="A372" s="10" t="s">
        <v>49</v>
      </c>
      <c r="B372" s="11" t="s">
        <v>29</v>
      </c>
    </row>
    <row r="373" spans="1:2" hidden="1">
      <c r="A373" s="10" t="s">
        <v>49</v>
      </c>
      <c r="B373" s="11" t="s">
        <v>30</v>
      </c>
    </row>
    <row r="374" spans="1:2" hidden="1">
      <c r="A374" s="10" t="s">
        <v>49</v>
      </c>
      <c r="B374" s="11" t="s">
        <v>31</v>
      </c>
    </row>
    <row r="375" spans="1:2" hidden="1">
      <c r="A375" s="10" t="s">
        <v>49</v>
      </c>
      <c r="B375" s="11" t="s">
        <v>32</v>
      </c>
    </row>
    <row r="376" spans="1:2" hidden="1">
      <c r="A376" s="10" t="s">
        <v>49</v>
      </c>
      <c r="B376" s="11" t="s">
        <v>33</v>
      </c>
    </row>
    <row r="377" spans="1:2" hidden="1">
      <c r="A377" s="10" t="s">
        <v>50</v>
      </c>
      <c r="B377" s="10" t="s">
        <v>12</v>
      </c>
    </row>
    <row r="378" spans="1:2" hidden="1">
      <c r="A378" s="10" t="s">
        <v>50</v>
      </c>
      <c r="B378" s="10" t="s">
        <v>13</v>
      </c>
    </row>
    <row r="379" spans="1:2" hidden="1">
      <c r="A379" s="10" t="s">
        <v>50</v>
      </c>
      <c r="B379" s="10" t="s">
        <v>14</v>
      </c>
    </row>
    <row r="380" spans="1:2" hidden="1">
      <c r="A380" s="10" t="s">
        <v>50</v>
      </c>
      <c r="B380" s="10" t="s">
        <v>15</v>
      </c>
    </row>
    <row r="381" spans="1:2" hidden="1">
      <c r="A381" s="10" t="s">
        <v>50</v>
      </c>
      <c r="B381" s="10" t="s">
        <v>16</v>
      </c>
    </row>
    <row r="382" spans="1:2" hidden="1">
      <c r="A382" s="10" t="s">
        <v>50</v>
      </c>
      <c r="B382" s="10" t="s">
        <v>17</v>
      </c>
    </row>
    <row r="383" spans="1:2" hidden="1">
      <c r="A383" s="10" t="s">
        <v>50</v>
      </c>
      <c r="B383" s="10" t="s">
        <v>18</v>
      </c>
    </row>
    <row r="384" spans="1:2" hidden="1">
      <c r="A384" s="10" t="s">
        <v>50</v>
      </c>
      <c r="B384" s="10" t="s">
        <v>19</v>
      </c>
    </row>
    <row r="385" spans="1:2" hidden="1">
      <c r="A385" s="10" t="s">
        <v>50</v>
      </c>
      <c r="B385" s="10" t="s">
        <v>20</v>
      </c>
    </row>
    <row r="386" spans="1:2">
      <c r="A386" s="10" t="s">
        <v>50</v>
      </c>
      <c r="B386" s="10" t="s">
        <v>21</v>
      </c>
    </row>
    <row r="387" spans="1:2" hidden="1">
      <c r="A387" s="10" t="s">
        <v>50</v>
      </c>
      <c r="B387" s="10" t="s">
        <v>22</v>
      </c>
    </row>
    <row r="388" spans="1:2" hidden="1">
      <c r="A388" s="10" t="s">
        <v>50</v>
      </c>
      <c r="B388" s="10" t="s">
        <v>23</v>
      </c>
    </row>
    <row r="389" spans="1:2" hidden="1">
      <c r="A389" s="10" t="s">
        <v>50</v>
      </c>
      <c r="B389" s="10" t="s">
        <v>24</v>
      </c>
    </row>
    <row r="390" spans="1:2" hidden="1">
      <c r="A390" s="10" t="s">
        <v>50</v>
      </c>
      <c r="B390" s="10" t="s">
        <v>25</v>
      </c>
    </row>
    <row r="391" spans="1:2" hidden="1">
      <c r="A391" s="10" t="s">
        <v>50</v>
      </c>
      <c r="B391" s="10" t="s">
        <v>26</v>
      </c>
    </row>
    <row r="392" spans="1:2" hidden="1">
      <c r="A392" s="10" t="s">
        <v>50</v>
      </c>
      <c r="B392" s="10" t="s">
        <v>27</v>
      </c>
    </row>
    <row r="393" spans="1:2" hidden="1">
      <c r="A393" s="10" t="s">
        <v>50</v>
      </c>
      <c r="B393" s="10" t="s">
        <v>28</v>
      </c>
    </row>
    <row r="394" spans="1:2" hidden="1">
      <c r="A394" s="10" t="s">
        <v>50</v>
      </c>
      <c r="B394" s="10" t="s">
        <v>29</v>
      </c>
    </row>
    <row r="395" spans="1:2" hidden="1">
      <c r="A395" s="10" t="s">
        <v>50</v>
      </c>
      <c r="B395" s="10" t="s">
        <v>30</v>
      </c>
    </row>
    <row r="396" spans="1:2" hidden="1">
      <c r="A396" s="10" t="s">
        <v>50</v>
      </c>
      <c r="B396" s="10" t="s">
        <v>31</v>
      </c>
    </row>
    <row r="397" spans="1:2" hidden="1">
      <c r="A397" s="10" t="s">
        <v>50</v>
      </c>
      <c r="B397" s="10" t="s">
        <v>32</v>
      </c>
    </row>
    <row r="398" spans="1:2" hidden="1">
      <c r="A398" s="10" t="s">
        <v>50</v>
      </c>
      <c r="B398" s="10" t="s">
        <v>33</v>
      </c>
    </row>
    <row r="399" spans="1:2" hidden="1">
      <c r="A399" s="10" t="s">
        <v>51</v>
      </c>
      <c r="B399" s="11" t="s">
        <v>12</v>
      </c>
    </row>
    <row r="400" spans="1:2" hidden="1">
      <c r="A400" s="10" t="s">
        <v>51</v>
      </c>
      <c r="B400" s="11" t="s">
        <v>13</v>
      </c>
    </row>
    <row r="401" spans="1:2" hidden="1">
      <c r="A401" s="10" t="s">
        <v>51</v>
      </c>
      <c r="B401" s="11" t="s">
        <v>14</v>
      </c>
    </row>
    <row r="402" spans="1:2" hidden="1">
      <c r="A402" s="10" t="s">
        <v>51</v>
      </c>
      <c r="B402" s="11" t="s">
        <v>15</v>
      </c>
    </row>
    <row r="403" spans="1:2" hidden="1">
      <c r="A403" s="10" t="s">
        <v>51</v>
      </c>
      <c r="B403" s="11" t="s">
        <v>16</v>
      </c>
    </row>
    <row r="404" spans="1:2" hidden="1">
      <c r="A404" s="10" t="s">
        <v>51</v>
      </c>
      <c r="B404" s="11" t="s">
        <v>17</v>
      </c>
    </row>
    <row r="405" spans="1:2" hidden="1">
      <c r="A405" s="10" t="s">
        <v>51</v>
      </c>
      <c r="B405" s="11" t="s">
        <v>18</v>
      </c>
    </row>
    <row r="406" spans="1:2" hidden="1">
      <c r="A406" s="10" t="s">
        <v>51</v>
      </c>
      <c r="B406" s="11" t="s">
        <v>19</v>
      </c>
    </row>
    <row r="407" spans="1:2" hidden="1">
      <c r="A407" s="10" t="s">
        <v>51</v>
      </c>
      <c r="B407" s="11" t="s">
        <v>20</v>
      </c>
    </row>
    <row r="408" spans="1:2">
      <c r="A408" s="10" t="s">
        <v>51</v>
      </c>
      <c r="B408" s="11" t="s">
        <v>21</v>
      </c>
    </row>
    <row r="409" spans="1:2" hidden="1">
      <c r="A409" s="10" t="s">
        <v>51</v>
      </c>
      <c r="B409" s="11" t="s">
        <v>22</v>
      </c>
    </row>
    <row r="410" spans="1:2" hidden="1">
      <c r="A410" s="10" t="s">
        <v>51</v>
      </c>
      <c r="B410" s="11" t="s">
        <v>23</v>
      </c>
    </row>
    <row r="411" spans="1:2" hidden="1">
      <c r="A411" s="10" t="s">
        <v>51</v>
      </c>
      <c r="B411" s="11" t="s">
        <v>24</v>
      </c>
    </row>
    <row r="412" spans="1:2" hidden="1">
      <c r="A412" s="10" t="s">
        <v>51</v>
      </c>
      <c r="B412" s="11" t="s">
        <v>25</v>
      </c>
    </row>
    <row r="413" spans="1:2" hidden="1">
      <c r="A413" s="10" t="s">
        <v>51</v>
      </c>
      <c r="B413" s="11" t="s">
        <v>26</v>
      </c>
    </row>
    <row r="414" spans="1:2" hidden="1">
      <c r="A414" s="10" t="s">
        <v>51</v>
      </c>
      <c r="B414" s="11" t="s">
        <v>27</v>
      </c>
    </row>
    <row r="415" spans="1:2" hidden="1">
      <c r="A415" s="10" t="s">
        <v>51</v>
      </c>
      <c r="B415" s="11" t="s">
        <v>28</v>
      </c>
    </row>
    <row r="416" spans="1:2" hidden="1">
      <c r="A416" s="10" t="s">
        <v>51</v>
      </c>
      <c r="B416" s="11" t="s">
        <v>29</v>
      </c>
    </row>
    <row r="417" spans="1:2" hidden="1">
      <c r="A417" s="10" t="s">
        <v>51</v>
      </c>
      <c r="B417" s="11" t="s">
        <v>30</v>
      </c>
    </row>
    <row r="418" spans="1:2" hidden="1">
      <c r="A418" s="10" t="s">
        <v>51</v>
      </c>
      <c r="B418" s="11" t="s">
        <v>31</v>
      </c>
    </row>
    <row r="419" spans="1:2" hidden="1">
      <c r="A419" s="10" t="s">
        <v>51</v>
      </c>
      <c r="B419" s="11" t="s">
        <v>32</v>
      </c>
    </row>
    <row r="420" spans="1:2" hidden="1">
      <c r="A420" s="10" t="s">
        <v>51</v>
      </c>
      <c r="B420" s="11" t="s">
        <v>33</v>
      </c>
    </row>
    <row r="421" spans="1:2" hidden="1">
      <c r="A421" s="10" t="s">
        <v>52</v>
      </c>
      <c r="B421" s="11" t="s">
        <v>12</v>
      </c>
    </row>
    <row r="422" spans="1:2" hidden="1">
      <c r="A422" s="10" t="s">
        <v>52</v>
      </c>
      <c r="B422" s="11" t="s">
        <v>13</v>
      </c>
    </row>
    <row r="423" spans="1:2" hidden="1">
      <c r="A423" s="10" t="s">
        <v>52</v>
      </c>
      <c r="B423" s="11" t="s">
        <v>14</v>
      </c>
    </row>
    <row r="424" spans="1:2" hidden="1">
      <c r="A424" s="10" t="s">
        <v>52</v>
      </c>
      <c r="B424" s="11" t="s">
        <v>15</v>
      </c>
    </row>
    <row r="425" spans="1:2" hidden="1">
      <c r="A425" s="10" t="s">
        <v>52</v>
      </c>
      <c r="B425" s="11" t="s">
        <v>16</v>
      </c>
    </row>
    <row r="426" spans="1:2" hidden="1">
      <c r="A426" s="10" t="s">
        <v>52</v>
      </c>
      <c r="B426" s="11" t="s">
        <v>17</v>
      </c>
    </row>
    <row r="427" spans="1:2" hidden="1">
      <c r="A427" s="10" t="s">
        <v>52</v>
      </c>
      <c r="B427" s="11" t="s">
        <v>18</v>
      </c>
    </row>
    <row r="428" spans="1:2" hidden="1">
      <c r="A428" s="10" t="s">
        <v>52</v>
      </c>
      <c r="B428" s="11" t="s">
        <v>19</v>
      </c>
    </row>
    <row r="429" spans="1:2" hidden="1">
      <c r="A429" s="10" t="s">
        <v>52</v>
      </c>
      <c r="B429" s="11" t="s">
        <v>20</v>
      </c>
    </row>
    <row r="430" spans="1:2">
      <c r="A430" s="10" t="s">
        <v>52</v>
      </c>
      <c r="B430" s="11" t="s">
        <v>21</v>
      </c>
    </row>
    <row r="431" spans="1:2" hidden="1">
      <c r="A431" s="10" t="s">
        <v>52</v>
      </c>
      <c r="B431" s="11" t="s">
        <v>22</v>
      </c>
    </row>
    <row r="432" spans="1:2" hidden="1">
      <c r="A432" s="10" t="s">
        <v>52</v>
      </c>
      <c r="B432" s="11" t="s">
        <v>23</v>
      </c>
    </row>
    <row r="433" spans="1:2" hidden="1">
      <c r="A433" s="10" t="s">
        <v>52</v>
      </c>
      <c r="B433" s="11" t="s">
        <v>24</v>
      </c>
    </row>
    <row r="434" spans="1:2" hidden="1">
      <c r="A434" s="10" t="s">
        <v>52</v>
      </c>
      <c r="B434" s="11" t="s">
        <v>25</v>
      </c>
    </row>
    <row r="435" spans="1:2" hidden="1">
      <c r="A435" s="10" t="s">
        <v>52</v>
      </c>
      <c r="B435" s="11" t="s">
        <v>26</v>
      </c>
    </row>
    <row r="436" spans="1:2" hidden="1">
      <c r="A436" s="10" t="s">
        <v>52</v>
      </c>
      <c r="B436" s="11" t="s">
        <v>27</v>
      </c>
    </row>
    <row r="437" spans="1:2" hidden="1">
      <c r="A437" s="10" t="s">
        <v>52</v>
      </c>
      <c r="B437" s="11" t="s">
        <v>28</v>
      </c>
    </row>
    <row r="438" spans="1:2" hidden="1">
      <c r="A438" s="10" t="s">
        <v>52</v>
      </c>
      <c r="B438" s="11" t="s">
        <v>29</v>
      </c>
    </row>
    <row r="439" spans="1:2" hidden="1">
      <c r="A439" s="10" t="s">
        <v>52</v>
      </c>
      <c r="B439" s="11" t="s">
        <v>30</v>
      </c>
    </row>
    <row r="440" spans="1:2" hidden="1">
      <c r="A440" s="10" t="s">
        <v>52</v>
      </c>
      <c r="B440" s="11" t="s">
        <v>31</v>
      </c>
    </row>
    <row r="441" spans="1:2" hidden="1">
      <c r="A441" s="10" t="s">
        <v>52</v>
      </c>
      <c r="B441" s="11" t="s">
        <v>32</v>
      </c>
    </row>
    <row r="442" spans="1:2" hidden="1">
      <c r="A442" s="10" t="s">
        <v>52</v>
      </c>
      <c r="B442" s="11" t="s">
        <v>33</v>
      </c>
    </row>
    <row r="443" spans="1:2" hidden="1">
      <c r="A443" s="10" t="s">
        <v>53</v>
      </c>
      <c r="B443" s="11" t="s">
        <v>12</v>
      </c>
    </row>
    <row r="444" spans="1:2" hidden="1">
      <c r="A444" s="10" t="s">
        <v>53</v>
      </c>
      <c r="B444" s="11" t="s">
        <v>13</v>
      </c>
    </row>
    <row r="445" spans="1:2" hidden="1">
      <c r="A445" s="10" t="s">
        <v>53</v>
      </c>
      <c r="B445" s="11" t="s">
        <v>14</v>
      </c>
    </row>
    <row r="446" spans="1:2" hidden="1">
      <c r="A446" s="10" t="s">
        <v>53</v>
      </c>
      <c r="B446" s="11" t="s">
        <v>15</v>
      </c>
    </row>
    <row r="447" spans="1:2" hidden="1">
      <c r="A447" s="10" t="s">
        <v>53</v>
      </c>
      <c r="B447" s="11" t="s">
        <v>16</v>
      </c>
    </row>
    <row r="448" spans="1:2" hidden="1">
      <c r="A448" s="10" t="s">
        <v>53</v>
      </c>
      <c r="B448" s="11" t="s">
        <v>17</v>
      </c>
    </row>
    <row r="449" spans="1:2" hidden="1">
      <c r="A449" s="10" t="s">
        <v>53</v>
      </c>
      <c r="B449" s="11" t="s">
        <v>18</v>
      </c>
    </row>
    <row r="450" spans="1:2" hidden="1">
      <c r="A450" s="10" t="s">
        <v>53</v>
      </c>
      <c r="B450" s="11" t="s">
        <v>19</v>
      </c>
    </row>
    <row r="451" spans="1:2" hidden="1">
      <c r="A451" s="10" t="s">
        <v>53</v>
      </c>
      <c r="B451" s="11" t="s">
        <v>20</v>
      </c>
    </row>
    <row r="452" spans="1:2">
      <c r="A452" s="10" t="s">
        <v>53</v>
      </c>
      <c r="B452" s="11" t="s">
        <v>21</v>
      </c>
    </row>
    <row r="453" spans="1:2" hidden="1">
      <c r="A453" s="10" t="s">
        <v>53</v>
      </c>
      <c r="B453" s="11" t="s">
        <v>22</v>
      </c>
    </row>
    <row r="454" spans="1:2" hidden="1">
      <c r="A454" s="10" t="s">
        <v>53</v>
      </c>
      <c r="B454" s="11" t="s">
        <v>23</v>
      </c>
    </row>
    <row r="455" spans="1:2" hidden="1">
      <c r="A455" s="10" t="s">
        <v>53</v>
      </c>
      <c r="B455" s="11" t="s">
        <v>24</v>
      </c>
    </row>
    <row r="456" spans="1:2" hidden="1">
      <c r="A456" s="10" t="s">
        <v>53</v>
      </c>
      <c r="B456" s="11" t="s">
        <v>25</v>
      </c>
    </row>
    <row r="457" spans="1:2" hidden="1">
      <c r="A457" s="10" t="s">
        <v>53</v>
      </c>
      <c r="B457" s="11" t="s">
        <v>26</v>
      </c>
    </row>
    <row r="458" spans="1:2" hidden="1">
      <c r="A458" s="10" t="s">
        <v>53</v>
      </c>
      <c r="B458" s="11" t="s">
        <v>27</v>
      </c>
    </row>
    <row r="459" spans="1:2" hidden="1">
      <c r="A459" s="10" t="s">
        <v>53</v>
      </c>
      <c r="B459" s="11" t="s">
        <v>28</v>
      </c>
    </row>
    <row r="460" spans="1:2" hidden="1">
      <c r="A460" s="10" t="s">
        <v>53</v>
      </c>
      <c r="B460" s="11" t="s">
        <v>29</v>
      </c>
    </row>
    <row r="461" spans="1:2" hidden="1">
      <c r="A461" s="10" t="s">
        <v>53</v>
      </c>
      <c r="B461" s="11" t="s">
        <v>30</v>
      </c>
    </row>
    <row r="462" spans="1:2" hidden="1">
      <c r="A462" s="10" t="s">
        <v>53</v>
      </c>
      <c r="B462" s="11" t="s">
        <v>31</v>
      </c>
    </row>
    <row r="463" spans="1:2" hidden="1">
      <c r="A463" s="10" t="s">
        <v>53</v>
      </c>
      <c r="B463" s="11" t="s">
        <v>32</v>
      </c>
    </row>
    <row r="464" spans="1:2" hidden="1">
      <c r="A464" s="10" t="s">
        <v>53</v>
      </c>
      <c r="B464" s="11" t="s">
        <v>33</v>
      </c>
    </row>
    <row r="465" spans="1:2" hidden="1">
      <c r="A465" s="10" t="s">
        <v>54</v>
      </c>
      <c r="B465" s="11" t="s">
        <v>12</v>
      </c>
    </row>
    <row r="466" spans="1:2" hidden="1">
      <c r="A466" s="10" t="s">
        <v>54</v>
      </c>
      <c r="B466" s="11" t="s">
        <v>13</v>
      </c>
    </row>
    <row r="467" spans="1:2" hidden="1">
      <c r="A467" s="10" t="s">
        <v>54</v>
      </c>
      <c r="B467" s="11" t="s">
        <v>14</v>
      </c>
    </row>
    <row r="468" spans="1:2" hidden="1">
      <c r="A468" s="10" t="s">
        <v>54</v>
      </c>
      <c r="B468" s="11" t="s">
        <v>15</v>
      </c>
    </row>
    <row r="469" spans="1:2" hidden="1">
      <c r="A469" s="10" t="s">
        <v>54</v>
      </c>
      <c r="B469" s="11" t="s">
        <v>16</v>
      </c>
    </row>
    <row r="470" spans="1:2" hidden="1">
      <c r="A470" s="10" t="s">
        <v>54</v>
      </c>
      <c r="B470" s="11" t="s">
        <v>17</v>
      </c>
    </row>
    <row r="471" spans="1:2" hidden="1">
      <c r="A471" s="10" t="s">
        <v>54</v>
      </c>
      <c r="B471" s="11" t="s">
        <v>18</v>
      </c>
    </row>
    <row r="472" spans="1:2" hidden="1">
      <c r="A472" s="10" t="s">
        <v>54</v>
      </c>
      <c r="B472" s="11" t="s">
        <v>19</v>
      </c>
    </row>
    <row r="473" spans="1:2" hidden="1">
      <c r="A473" s="10" t="s">
        <v>54</v>
      </c>
      <c r="B473" s="11" t="s">
        <v>20</v>
      </c>
    </row>
    <row r="474" spans="1:2">
      <c r="A474" s="10" t="s">
        <v>54</v>
      </c>
      <c r="B474" s="11" t="s">
        <v>21</v>
      </c>
    </row>
    <row r="475" spans="1:2" hidden="1">
      <c r="A475" s="10" t="s">
        <v>54</v>
      </c>
      <c r="B475" s="11" t="s">
        <v>22</v>
      </c>
    </row>
    <row r="476" spans="1:2" hidden="1">
      <c r="A476" s="10" t="s">
        <v>54</v>
      </c>
      <c r="B476" s="11" t="s">
        <v>23</v>
      </c>
    </row>
    <row r="477" spans="1:2" hidden="1">
      <c r="A477" s="10" t="s">
        <v>54</v>
      </c>
      <c r="B477" s="11" t="s">
        <v>24</v>
      </c>
    </row>
    <row r="478" spans="1:2" hidden="1">
      <c r="A478" s="10" t="s">
        <v>54</v>
      </c>
      <c r="B478" s="11" t="s">
        <v>25</v>
      </c>
    </row>
    <row r="479" spans="1:2" hidden="1">
      <c r="A479" s="10" t="s">
        <v>54</v>
      </c>
      <c r="B479" s="11" t="s">
        <v>26</v>
      </c>
    </row>
    <row r="480" spans="1:2" hidden="1">
      <c r="A480" s="10" t="s">
        <v>54</v>
      </c>
      <c r="B480" s="11" t="s">
        <v>27</v>
      </c>
    </row>
    <row r="481" spans="1:11" hidden="1">
      <c r="A481" s="10" t="s">
        <v>54</v>
      </c>
      <c r="B481" s="11" t="s">
        <v>28</v>
      </c>
    </row>
    <row r="482" spans="1:11" hidden="1">
      <c r="A482" s="10" t="s">
        <v>54</v>
      </c>
      <c r="B482" s="11" t="s">
        <v>29</v>
      </c>
    </row>
    <row r="483" spans="1:11" hidden="1">
      <c r="A483" s="10" t="s">
        <v>54</v>
      </c>
      <c r="B483" s="11" t="s">
        <v>30</v>
      </c>
    </row>
    <row r="484" spans="1:11" hidden="1">
      <c r="A484" s="10" t="s">
        <v>54</v>
      </c>
      <c r="B484" s="11" t="s">
        <v>31</v>
      </c>
    </row>
    <row r="485" spans="1:11" hidden="1">
      <c r="A485" s="10" t="s">
        <v>54</v>
      </c>
      <c r="B485" s="11" t="s">
        <v>32</v>
      </c>
    </row>
    <row r="486" spans="1:11" hidden="1">
      <c r="A486" s="10" t="s">
        <v>54</v>
      </c>
      <c r="B486" s="11" t="s">
        <v>33</v>
      </c>
    </row>
    <row r="487" spans="1:11" hidden="1">
      <c r="A487" s="10" t="s">
        <v>55</v>
      </c>
      <c r="B487" s="11" t="s">
        <v>12</v>
      </c>
      <c r="C487" s="16"/>
      <c r="D487" s="16"/>
      <c r="E487" s="16"/>
      <c r="F487" s="16"/>
      <c r="G487" s="16"/>
      <c r="H487" s="16"/>
    </row>
    <row r="488" spans="1:11" hidden="1">
      <c r="A488" s="10" t="s">
        <v>55</v>
      </c>
      <c r="B488" s="11" t="s">
        <v>13</v>
      </c>
      <c r="C488" s="16"/>
      <c r="D488" s="16"/>
      <c r="E488" s="16">
        <v>128</v>
      </c>
      <c r="F488" s="16"/>
      <c r="G488" s="16"/>
      <c r="H488" s="16"/>
    </row>
    <row r="489" spans="1:11" hidden="1">
      <c r="A489" s="10" t="s">
        <v>55</v>
      </c>
      <c r="B489" s="11" t="s">
        <v>14</v>
      </c>
      <c r="C489" s="16"/>
      <c r="D489" s="16"/>
      <c r="E489" s="16"/>
      <c r="F489" s="16"/>
      <c r="G489" s="16"/>
      <c r="H489" s="16"/>
    </row>
    <row r="490" spans="1:11" hidden="1">
      <c r="A490" s="10" t="s">
        <v>55</v>
      </c>
      <c r="B490" s="11" t="s">
        <v>15</v>
      </c>
      <c r="C490" s="16"/>
      <c r="D490" s="16"/>
      <c r="E490" s="16"/>
      <c r="F490" s="16"/>
      <c r="G490" s="16"/>
      <c r="H490" s="16"/>
    </row>
    <row r="491" spans="1:11" hidden="1">
      <c r="A491" s="10" t="s">
        <v>55</v>
      </c>
      <c r="B491" s="11" t="s">
        <v>16</v>
      </c>
      <c r="C491" s="16"/>
      <c r="D491" s="16">
        <v>36</v>
      </c>
      <c r="E491" s="16">
        <v>21</v>
      </c>
      <c r="F491" s="16"/>
      <c r="G491" s="16"/>
      <c r="H491" s="16"/>
    </row>
    <row r="492" spans="1:11" hidden="1">
      <c r="A492" s="10" t="s">
        <v>55</v>
      </c>
      <c r="B492" s="11" t="s">
        <v>17</v>
      </c>
      <c r="C492" s="17"/>
      <c r="D492" s="16">
        <v>350</v>
      </c>
      <c r="E492" s="16">
        <v>42</v>
      </c>
      <c r="F492" s="16"/>
      <c r="G492" s="16"/>
      <c r="H492" s="16"/>
    </row>
    <row r="493" spans="1:11" hidden="1">
      <c r="A493" s="10" t="s">
        <v>55</v>
      </c>
      <c r="B493" s="11" t="s">
        <v>18</v>
      </c>
      <c r="C493" s="17"/>
      <c r="D493" s="16"/>
      <c r="E493" s="16"/>
      <c r="F493" s="16"/>
      <c r="G493" s="16"/>
      <c r="H493" s="16"/>
    </row>
    <row r="494" spans="1:11" hidden="1">
      <c r="A494" s="10" t="s">
        <v>55</v>
      </c>
      <c r="B494" s="11" t="s">
        <v>19</v>
      </c>
      <c r="C494" s="17"/>
      <c r="D494" s="16">
        <v>519</v>
      </c>
      <c r="E494" s="16">
        <v>88</v>
      </c>
      <c r="F494" s="16"/>
      <c r="G494" s="16"/>
      <c r="H494" s="16"/>
      <c r="J494" s="18"/>
      <c r="K494" s="18"/>
    </row>
    <row r="495" spans="1:11" hidden="1">
      <c r="A495" s="10" t="s">
        <v>55</v>
      </c>
      <c r="B495" s="11" t="s">
        <v>20</v>
      </c>
      <c r="C495" s="17"/>
      <c r="D495" s="16"/>
      <c r="E495" s="16"/>
      <c r="F495" s="16"/>
      <c r="G495" s="16"/>
      <c r="H495" s="16"/>
      <c r="J495" s="18"/>
      <c r="K495" s="18"/>
    </row>
    <row r="496" spans="1:11">
      <c r="A496" s="10" t="s">
        <v>55</v>
      </c>
      <c r="B496" s="11" t="s">
        <v>21</v>
      </c>
      <c r="C496" s="16"/>
      <c r="D496" s="16">
        <f>341+197</f>
        <v>538</v>
      </c>
      <c r="E496" s="16">
        <f>102+115</f>
        <v>217</v>
      </c>
      <c r="F496" s="16"/>
      <c r="G496" s="16"/>
      <c r="H496" s="16"/>
    </row>
    <row r="497" spans="1:8" hidden="1">
      <c r="A497" s="10" t="s">
        <v>55</v>
      </c>
      <c r="B497" s="11" t="s">
        <v>22</v>
      </c>
      <c r="C497" s="16"/>
      <c r="D497" s="16"/>
      <c r="E497" s="16"/>
      <c r="F497" s="16"/>
      <c r="G497" s="16"/>
      <c r="H497" s="16"/>
    </row>
    <row r="498" spans="1:8" hidden="1">
      <c r="A498" s="10" t="s">
        <v>55</v>
      </c>
      <c r="B498" s="11" t="s">
        <v>23</v>
      </c>
      <c r="C498" s="16"/>
      <c r="D498" s="16"/>
      <c r="E498" s="16"/>
      <c r="F498" s="16"/>
      <c r="G498" s="16"/>
      <c r="H498" s="16"/>
    </row>
    <row r="499" spans="1:8" hidden="1">
      <c r="A499" s="10" t="s">
        <v>55</v>
      </c>
      <c r="B499" s="11" t="s">
        <v>24</v>
      </c>
      <c r="C499" s="16"/>
      <c r="D499" s="16"/>
      <c r="E499" s="16"/>
      <c r="F499" s="16"/>
      <c r="G499" s="16"/>
      <c r="H499" s="16"/>
    </row>
    <row r="500" spans="1:8" hidden="1">
      <c r="A500" s="10" t="s">
        <v>55</v>
      </c>
      <c r="B500" s="11" t="s">
        <v>25</v>
      </c>
      <c r="C500" s="16"/>
      <c r="D500" s="16">
        <v>1070</v>
      </c>
      <c r="E500" s="16">
        <v>279</v>
      </c>
      <c r="F500" s="16"/>
      <c r="G500" s="16"/>
      <c r="H500" s="16"/>
    </row>
    <row r="501" spans="1:8" hidden="1">
      <c r="A501" s="10" t="s">
        <v>55</v>
      </c>
      <c r="B501" s="11" t="s">
        <v>26</v>
      </c>
      <c r="C501" s="16"/>
      <c r="D501" s="16">
        <v>485</v>
      </c>
      <c r="E501" s="16">
        <v>42</v>
      </c>
      <c r="F501" s="16"/>
      <c r="G501" s="16"/>
      <c r="H501" s="16"/>
    </row>
    <row r="502" spans="1:8" hidden="1">
      <c r="A502" s="10" t="s">
        <v>55</v>
      </c>
      <c r="B502" s="11" t="s">
        <v>27</v>
      </c>
      <c r="C502" s="16"/>
      <c r="D502" s="16"/>
      <c r="E502" s="16"/>
      <c r="F502" s="16"/>
      <c r="G502" s="16"/>
      <c r="H502" s="16"/>
    </row>
    <row r="503" spans="1:8" hidden="1">
      <c r="A503" s="10" t="s">
        <v>55</v>
      </c>
      <c r="B503" s="11" t="s">
        <v>28</v>
      </c>
      <c r="C503" s="16"/>
      <c r="D503" s="16"/>
      <c r="E503" s="16"/>
      <c r="F503" s="16"/>
      <c r="G503" s="16"/>
      <c r="H503" s="16"/>
    </row>
    <row r="504" spans="1:8" hidden="1">
      <c r="A504" s="10" t="s">
        <v>55</v>
      </c>
      <c r="B504" s="11" t="s">
        <v>29</v>
      </c>
      <c r="C504" s="16"/>
      <c r="D504" s="16"/>
      <c r="E504" s="16"/>
      <c r="F504" s="16"/>
      <c r="G504" s="16"/>
      <c r="H504" s="16"/>
    </row>
    <row r="505" spans="1:8" hidden="1">
      <c r="A505" s="10" t="s">
        <v>55</v>
      </c>
      <c r="B505" s="11" t="s">
        <v>30</v>
      </c>
      <c r="C505" s="16"/>
      <c r="D505" s="16">
        <v>379</v>
      </c>
      <c r="E505" s="16">
        <v>49</v>
      </c>
      <c r="F505" s="16"/>
      <c r="G505" s="16"/>
      <c r="H505" s="16"/>
    </row>
    <row r="506" spans="1:8" hidden="1">
      <c r="A506" s="10" t="s">
        <v>55</v>
      </c>
      <c r="B506" s="11" t="s">
        <v>31</v>
      </c>
      <c r="C506" s="16"/>
      <c r="D506" s="16">
        <v>16</v>
      </c>
      <c r="E506" s="16">
        <v>36</v>
      </c>
      <c r="F506" s="16"/>
      <c r="G506" s="16"/>
      <c r="H506" s="16"/>
    </row>
    <row r="507" spans="1:8" hidden="1">
      <c r="A507" s="10" t="s">
        <v>55</v>
      </c>
      <c r="B507" s="11" t="s">
        <v>32</v>
      </c>
      <c r="C507" s="16"/>
      <c r="D507" s="16"/>
      <c r="E507" s="16"/>
      <c r="F507" s="16"/>
      <c r="G507" s="16"/>
      <c r="H507" s="16"/>
    </row>
    <row r="508" spans="1:8" hidden="1">
      <c r="A508" s="10" t="s">
        <v>55</v>
      </c>
      <c r="B508" s="11" t="s">
        <v>33</v>
      </c>
      <c r="C508" s="16"/>
      <c r="D508" s="16"/>
      <c r="E508" s="16"/>
      <c r="F508" s="16"/>
      <c r="G508" s="16"/>
      <c r="H508" s="16"/>
    </row>
    <row r="509" spans="1:8" hidden="1">
      <c r="A509" s="10" t="s">
        <v>56</v>
      </c>
      <c r="B509" s="11" t="s">
        <v>12</v>
      </c>
    </row>
    <row r="510" spans="1:8" hidden="1">
      <c r="A510" s="10" t="s">
        <v>56</v>
      </c>
      <c r="B510" s="11" t="s">
        <v>13</v>
      </c>
    </row>
    <row r="511" spans="1:8" hidden="1">
      <c r="A511" s="10" t="s">
        <v>56</v>
      </c>
      <c r="B511" s="11" t="s">
        <v>14</v>
      </c>
    </row>
    <row r="512" spans="1:8" hidden="1">
      <c r="A512" s="10" t="s">
        <v>56</v>
      </c>
      <c r="B512" s="11" t="s">
        <v>15</v>
      </c>
    </row>
    <row r="513" spans="1:2" hidden="1">
      <c r="A513" s="10" t="s">
        <v>56</v>
      </c>
      <c r="B513" s="11" t="s">
        <v>16</v>
      </c>
    </row>
    <row r="514" spans="1:2" hidden="1">
      <c r="A514" s="10" t="s">
        <v>56</v>
      </c>
      <c r="B514" s="11" t="s">
        <v>17</v>
      </c>
    </row>
    <row r="515" spans="1:2" hidden="1">
      <c r="A515" s="10" t="s">
        <v>56</v>
      </c>
      <c r="B515" s="11" t="s">
        <v>18</v>
      </c>
    </row>
    <row r="516" spans="1:2" hidden="1">
      <c r="A516" s="10" t="s">
        <v>56</v>
      </c>
      <c r="B516" s="11" t="s">
        <v>19</v>
      </c>
    </row>
    <row r="517" spans="1:2" hidden="1">
      <c r="A517" s="10" t="s">
        <v>56</v>
      </c>
      <c r="B517" s="11" t="s">
        <v>20</v>
      </c>
    </row>
    <row r="518" spans="1:2">
      <c r="A518" s="10" t="s">
        <v>56</v>
      </c>
      <c r="B518" s="11" t="s">
        <v>21</v>
      </c>
    </row>
    <row r="519" spans="1:2" hidden="1">
      <c r="A519" s="10" t="s">
        <v>56</v>
      </c>
      <c r="B519" s="11" t="s">
        <v>22</v>
      </c>
    </row>
    <row r="520" spans="1:2" hidden="1">
      <c r="A520" s="10" t="s">
        <v>56</v>
      </c>
      <c r="B520" s="11" t="s">
        <v>23</v>
      </c>
    </row>
    <row r="521" spans="1:2" hidden="1">
      <c r="A521" s="10" t="s">
        <v>56</v>
      </c>
      <c r="B521" s="11" t="s">
        <v>24</v>
      </c>
    </row>
    <row r="522" spans="1:2" hidden="1">
      <c r="A522" s="10" t="s">
        <v>56</v>
      </c>
      <c r="B522" s="11" t="s">
        <v>25</v>
      </c>
    </row>
    <row r="523" spans="1:2" hidden="1">
      <c r="A523" s="10" t="s">
        <v>56</v>
      </c>
      <c r="B523" s="11" t="s">
        <v>26</v>
      </c>
    </row>
    <row r="524" spans="1:2" hidden="1">
      <c r="A524" s="10" t="s">
        <v>56</v>
      </c>
      <c r="B524" s="11" t="s">
        <v>27</v>
      </c>
    </row>
    <row r="525" spans="1:2" hidden="1">
      <c r="A525" s="10" t="s">
        <v>56</v>
      </c>
      <c r="B525" s="11" t="s">
        <v>28</v>
      </c>
    </row>
    <row r="526" spans="1:2" hidden="1">
      <c r="A526" s="10" t="s">
        <v>56</v>
      </c>
      <c r="B526" s="11" t="s">
        <v>29</v>
      </c>
    </row>
    <row r="527" spans="1:2" hidden="1">
      <c r="A527" s="10" t="s">
        <v>56</v>
      </c>
      <c r="B527" s="11" t="s">
        <v>30</v>
      </c>
    </row>
    <row r="528" spans="1:2" hidden="1">
      <c r="A528" s="10" t="s">
        <v>56</v>
      </c>
      <c r="B528" s="11" t="s">
        <v>31</v>
      </c>
    </row>
    <row r="529" spans="1:5" hidden="1">
      <c r="A529" s="10" t="s">
        <v>56</v>
      </c>
      <c r="B529" s="11" t="s">
        <v>32</v>
      </c>
    </row>
    <row r="530" spans="1:5" hidden="1">
      <c r="A530" s="10" t="s">
        <v>56</v>
      </c>
      <c r="B530" s="11" t="s">
        <v>33</v>
      </c>
    </row>
    <row r="531" spans="1:5" hidden="1">
      <c r="A531" s="10" t="s">
        <v>57</v>
      </c>
      <c r="B531" s="11" t="s">
        <v>12</v>
      </c>
    </row>
    <row r="532" spans="1:5" hidden="1">
      <c r="A532" s="10" t="s">
        <v>57</v>
      </c>
      <c r="B532" s="11" t="s">
        <v>13</v>
      </c>
    </row>
    <row r="533" spans="1:5" hidden="1">
      <c r="A533" s="10" t="s">
        <v>57</v>
      </c>
      <c r="B533" s="11" t="s">
        <v>14</v>
      </c>
    </row>
    <row r="534" spans="1:5" hidden="1">
      <c r="A534" s="10" t="s">
        <v>57</v>
      </c>
      <c r="B534" s="11" t="s">
        <v>15</v>
      </c>
    </row>
    <row r="535" spans="1:5" hidden="1">
      <c r="A535" s="10" t="s">
        <v>57</v>
      </c>
      <c r="B535" s="11" t="s">
        <v>16</v>
      </c>
      <c r="C535" s="5">
        <v>0</v>
      </c>
      <c r="D535" s="5">
        <v>0</v>
      </c>
      <c r="E535" s="5">
        <v>8</v>
      </c>
    </row>
    <row r="536" spans="1:5" hidden="1">
      <c r="A536" s="10" t="s">
        <v>57</v>
      </c>
      <c r="B536" s="11" t="s">
        <v>17</v>
      </c>
      <c r="C536" s="5">
        <v>26</v>
      </c>
      <c r="D536" s="5">
        <v>20</v>
      </c>
      <c r="E536" s="5">
        <v>20</v>
      </c>
    </row>
    <row r="537" spans="1:5" hidden="1">
      <c r="A537" s="10" t="s">
        <v>57</v>
      </c>
      <c r="B537" s="11" t="s">
        <v>18</v>
      </c>
    </row>
    <row r="538" spans="1:5" hidden="1">
      <c r="A538" s="10" t="s">
        <v>57</v>
      </c>
      <c r="B538" s="11" t="s">
        <v>19</v>
      </c>
      <c r="C538" s="5">
        <v>20</v>
      </c>
      <c r="D538" s="5">
        <v>0</v>
      </c>
      <c r="E538" s="5">
        <v>20</v>
      </c>
    </row>
    <row r="539" spans="1:5" hidden="1">
      <c r="A539" s="10" t="s">
        <v>57</v>
      </c>
      <c r="B539" s="11" t="s">
        <v>20</v>
      </c>
    </row>
    <row r="540" spans="1:5">
      <c r="A540" s="10" t="s">
        <v>57</v>
      </c>
      <c r="B540" s="11" t="s">
        <v>21</v>
      </c>
    </row>
    <row r="541" spans="1:5" hidden="1">
      <c r="A541" s="10" t="s">
        <v>57</v>
      </c>
      <c r="B541" s="11" t="s">
        <v>22</v>
      </c>
    </row>
    <row r="542" spans="1:5" hidden="1">
      <c r="A542" s="10" t="s">
        <v>57</v>
      </c>
      <c r="B542" s="11" t="s">
        <v>23</v>
      </c>
    </row>
    <row r="543" spans="1:5" hidden="1">
      <c r="A543" s="10" t="s">
        <v>57</v>
      </c>
      <c r="B543" s="11" t="s">
        <v>24</v>
      </c>
    </row>
    <row r="544" spans="1:5" hidden="1">
      <c r="A544" s="10" t="s">
        <v>57</v>
      </c>
      <c r="B544" s="11" t="s">
        <v>25</v>
      </c>
      <c r="D544" s="5">
        <f>0+82+10+20+0</f>
        <v>112</v>
      </c>
      <c r="E544" s="5">
        <f>0+42+8+0+0</f>
        <v>50</v>
      </c>
    </row>
    <row r="545" spans="1:5" hidden="1">
      <c r="A545" s="10" t="s">
        <v>57</v>
      </c>
      <c r="B545" s="11" t="s">
        <v>26</v>
      </c>
    </row>
    <row r="546" spans="1:5" hidden="1">
      <c r="A546" s="10" t="s">
        <v>57</v>
      </c>
      <c r="B546" s="11" t="s">
        <v>27</v>
      </c>
    </row>
    <row r="547" spans="1:5" hidden="1">
      <c r="A547" s="10" t="s">
        <v>57</v>
      </c>
      <c r="B547" s="11" t="s">
        <v>28</v>
      </c>
    </row>
    <row r="548" spans="1:5" hidden="1">
      <c r="A548" s="10" t="s">
        <v>57</v>
      </c>
      <c r="B548" s="11" t="s">
        <v>29</v>
      </c>
      <c r="C548" s="5">
        <v>20</v>
      </c>
      <c r="D548" s="5">
        <v>20</v>
      </c>
      <c r="E548" s="5">
        <v>14</v>
      </c>
    </row>
    <row r="549" spans="1:5" hidden="1">
      <c r="A549" s="10" t="s">
        <v>57</v>
      </c>
      <c r="B549" s="11" t="s">
        <v>30</v>
      </c>
    </row>
    <row r="550" spans="1:5" hidden="1">
      <c r="A550" s="10" t="s">
        <v>57</v>
      </c>
      <c r="B550" s="11" t="s">
        <v>31</v>
      </c>
    </row>
    <row r="551" spans="1:5" hidden="1">
      <c r="A551" s="10" t="s">
        <v>57</v>
      </c>
      <c r="B551" s="11" t="s">
        <v>32</v>
      </c>
    </row>
    <row r="552" spans="1:5" hidden="1">
      <c r="A552" s="10" t="s">
        <v>57</v>
      </c>
      <c r="B552" s="11" t="s">
        <v>33</v>
      </c>
    </row>
    <row r="553" spans="1:5" hidden="1">
      <c r="A553" s="10" t="s">
        <v>58</v>
      </c>
      <c r="B553" s="11" t="s">
        <v>12</v>
      </c>
    </row>
    <row r="554" spans="1:5" hidden="1">
      <c r="A554" s="10" t="s">
        <v>58</v>
      </c>
      <c r="B554" s="11" t="s">
        <v>13</v>
      </c>
    </row>
    <row r="555" spans="1:5" hidden="1">
      <c r="A555" s="10" t="s">
        <v>58</v>
      </c>
      <c r="B555" s="11" t="s">
        <v>14</v>
      </c>
    </row>
    <row r="556" spans="1:5" hidden="1">
      <c r="A556" s="10" t="s">
        <v>58</v>
      </c>
      <c r="B556" s="11" t="s">
        <v>15</v>
      </c>
    </row>
    <row r="557" spans="1:5" hidden="1">
      <c r="A557" s="10" t="s">
        <v>58</v>
      </c>
      <c r="B557" s="11" t="s">
        <v>16</v>
      </c>
    </row>
    <row r="558" spans="1:5" hidden="1">
      <c r="A558" s="10" t="s">
        <v>58</v>
      </c>
      <c r="B558" s="11" t="s">
        <v>17</v>
      </c>
    </row>
    <row r="559" spans="1:5" hidden="1">
      <c r="A559" s="10" t="s">
        <v>58</v>
      </c>
      <c r="B559" s="11" t="s">
        <v>18</v>
      </c>
    </row>
    <row r="560" spans="1:5" hidden="1">
      <c r="A560" s="10" t="s">
        <v>58</v>
      </c>
      <c r="B560" s="11" t="s">
        <v>19</v>
      </c>
    </row>
    <row r="561" spans="1:2" hidden="1">
      <c r="A561" s="10" t="s">
        <v>58</v>
      </c>
      <c r="B561" s="11" t="s">
        <v>20</v>
      </c>
    </row>
    <row r="562" spans="1:2">
      <c r="A562" s="10" t="s">
        <v>58</v>
      </c>
      <c r="B562" s="11" t="s">
        <v>21</v>
      </c>
    </row>
    <row r="563" spans="1:2" hidden="1">
      <c r="A563" s="10" t="s">
        <v>58</v>
      </c>
      <c r="B563" s="11" t="s">
        <v>22</v>
      </c>
    </row>
    <row r="564" spans="1:2" hidden="1">
      <c r="A564" s="10" t="s">
        <v>58</v>
      </c>
      <c r="B564" s="11" t="s">
        <v>23</v>
      </c>
    </row>
    <row r="565" spans="1:2" hidden="1">
      <c r="A565" s="10" t="s">
        <v>58</v>
      </c>
      <c r="B565" s="11" t="s">
        <v>24</v>
      </c>
    </row>
    <row r="566" spans="1:2" hidden="1">
      <c r="A566" s="10" t="s">
        <v>58</v>
      </c>
      <c r="B566" s="11" t="s">
        <v>25</v>
      </c>
    </row>
    <row r="567" spans="1:2" hidden="1">
      <c r="A567" s="10" t="s">
        <v>58</v>
      </c>
      <c r="B567" s="11" t="s">
        <v>26</v>
      </c>
    </row>
    <row r="568" spans="1:2" hidden="1">
      <c r="A568" s="10" t="s">
        <v>58</v>
      </c>
      <c r="B568" s="11" t="s">
        <v>27</v>
      </c>
    </row>
    <row r="569" spans="1:2" hidden="1">
      <c r="A569" s="10" t="s">
        <v>58</v>
      </c>
      <c r="B569" s="11" t="s">
        <v>28</v>
      </c>
    </row>
    <row r="570" spans="1:2" hidden="1">
      <c r="A570" s="10" t="s">
        <v>58</v>
      </c>
      <c r="B570" s="11" t="s">
        <v>29</v>
      </c>
    </row>
    <row r="571" spans="1:2" hidden="1">
      <c r="A571" s="10" t="s">
        <v>58</v>
      </c>
      <c r="B571" s="11" t="s">
        <v>30</v>
      </c>
    </row>
    <row r="572" spans="1:2" hidden="1">
      <c r="A572" s="10" t="s">
        <v>58</v>
      </c>
      <c r="B572" s="11" t="s">
        <v>31</v>
      </c>
    </row>
    <row r="573" spans="1:2" hidden="1">
      <c r="A573" s="10" t="s">
        <v>58</v>
      </c>
      <c r="B573" s="11" t="s">
        <v>32</v>
      </c>
    </row>
    <row r="574" spans="1:2" hidden="1">
      <c r="A574" s="10" t="s">
        <v>58</v>
      </c>
      <c r="B574" s="11" t="s">
        <v>33</v>
      </c>
    </row>
    <row r="575" spans="1:2" hidden="1">
      <c r="A575" s="10" t="s">
        <v>59</v>
      </c>
      <c r="B575" s="11" t="s">
        <v>12</v>
      </c>
    </row>
    <row r="576" spans="1:2" hidden="1">
      <c r="A576" s="10" t="s">
        <v>59</v>
      </c>
      <c r="B576" s="11" t="s">
        <v>13</v>
      </c>
    </row>
    <row r="577" spans="1:2" hidden="1">
      <c r="A577" s="10" t="s">
        <v>59</v>
      </c>
      <c r="B577" s="11" t="s">
        <v>14</v>
      </c>
    </row>
    <row r="578" spans="1:2" hidden="1">
      <c r="A578" s="10" t="s">
        <v>59</v>
      </c>
      <c r="B578" s="11" t="s">
        <v>15</v>
      </c>
    </row>
    <row r="579" spans="1:2" hidden="1">
      <c r="A579" s="10" t="s">
        <v>59</v>
      </c>
      <c r="B579" s="11" t="s">
        <v>16</v>
      </c>
    </row>
    <row r="580" spans="1:2" hidden="1">
      <c r="A580" s="10" t="s">
        <v>59</v>
      </c>
      <c r="B580" s="11" t="s">
        <v>17</v>
      </c>
    </row>
    <row r="581" spans="1:2" hidden="1">
      <c r="A581" s="10" t="s">
        <v>59</v>
      </c>
      <c r="B581" s="11" t="s">
        <v>18</v>
      </c>
    </row>
    <row r="582" spans="1:2" hidden="1">
      <c r="A582" s="10" t="s">
        <v>59</v>
      </c>
      <c r="B582" s="11" t="s">
        <v>19</v>
      </c>
    </row>
    <row r="583" spans="1:2" hidden="1">
      <c r="A583" s="10" t="s">
        <v>59</v>
      </c>
      <c r="B583" s="11" t="s">
        <v>20</v>
      </c>
    </row>
    <row r="584" spans="1:2">
      <c r="A584" s="10" t="s">
        <v>59</v>
      </c>
      <c r="B584" s="11" t="s">
        <v>21</v>
      </c>
    </row>
    <row r="585" spans="1:2" hidden="1">
      <c r="A585" s="10" t="s">
        <v>59</v>
      </c>
      <c r="B585" s="11" t="s">
        <v>22</v>
      </c>
    </row>
    <row r="586" spans="1:2" hidden="1">
      <c r="A586" s="10" t="s">
        <v>59</v>
      </c>
      <c r="B586" s="11" t="s">
        <v>23</v>
      </c>
    </row>
    <row r="587" spans="1:2" hidden="1">
      <c r="A587" s="10" t="s">
        <v>59</v>
      </c>
      <c r="B587" s="11" t="s">
        <v>24</v>
      </c>
    </row>
    <row r="588" spans="1:2" hidden="1">
      <c r="A588" s="10" t="s">
        <v>59</v>
      </c>
      <c r="B588" s="11" t="s">
        <v>25</v>
      </c>
    </row>
    <row r="589" spans="1:2" hidden="1">
      <c r="A589" s="10" t="s">
        <v>59</v>
      </c>
      <c r="B589" s="11" t="s">
        <v>26</v>
      </c>
    </row>
    <row r="590" spans="1:2" hidden="1">
      <c r="A590" s="10" t="s">
        <v>59</v>
      </c>
      <c r="B590" s="11" t="s">
        <v>27</v>
      </c>
    </row>
    <row r="591" spans="1:2" hidden="1">
      <c r="A591" s="10" t="s">
        <v>59</v>
      </c>
      <c r="B591" s="11" t="s">
        <v>28</v>
      </c>
    </row>
    <row r="592" spans="1:2" hidden="1">
      <c r="A592" s="10" t="s">
        <v>59</v>
      </c>
      <c r="B592" s="11" t="s">
        <v>29</v>
      </c>
    </row>
    <row r="593" spans="1:11" hidden="1">
      <c r="A593" s="10" t="s">
        <v>59</v>
      </c>
      <c r="B593" s="11" t="s">
        <v>30</v>
      </c>
    </row>
    <row r="594" spans="1:11" hidden="1">
      <c r="A594" s="10" t="s">
        <v>59</v>
      </c>
      <c r="B594" s="11" t="s">
        <v>31</v>
      </c>
    </row>
    <row r="595" spans="1:11" hidden="1">
      <c r="A595" s="10" t="s">
        <v>59</v>
      </c>
      <c r="B595" s="11" t="s">
        <v>32</v>
      </c>
    </row>
    <row r="596" spans="1:11" hidden="1">
      <c r="A596" s="10" t="s">
        <v>59</v>
      </c>
      <c r="B596" s="11" t="s">
        <v>33</v>
      </c>
    </row>
    <row r="597" spans="1:11" hidden="1">
      <c r="A597" s="10" t="s">
        <v>60</v>
      </c>
      <c r="B597" s="11" t="s">
        <v>12</v>
      </c>
    </row>
    <row r="598" spans="1:11" hidden="1">
      <c r="A598" s="10" t="s">
        <v>60</v>
      </c>
      <c r="B598" s="11" t="s">
        <v>13</v>
      </c>
    </row>
    <row r="599" spans="1:11" hidden="1">
      <c r="A599" s="10" t="s">
        <v>60</v>
      </c>
      <c r="B599" s="11" t="s">
        <v>14</v>
      </c>
    </row>
    <row r="600" spans="1:11" hidden="1">
      <c r="A600" s="10" t="s">
        <v>60</v>
      </c>
      <c r="B600" s="11" t="s">
        <v>15</v>
      </c>
    </row>
    <row r="601" spans="1:11" hidden="1">
      <c r="A601" s="10" t="s">
        <v>60</v>
      </c>
      <c r="B601" s="11" t="s">
        <v>16</v>
      </c>
      <c r="K601" s="5">
        <v>161</v>
      </c>
    </row>
    <row r="602" spans="1:11" hidden="1">
      <c r="A602" s="10" t="s">
        <v>60</v>
      </c>
      <c r="B602" s="11" t="s">
        <v>17</v>
      </c>
      <c r="K602" s="5">
        <v>30</v>
      </c>
    </row>
    <row r="603" spans="1:11" hidden="1">
      <c r="A603" s="10" t="s">
        <v>60</v>
      </c>
      <c r="B603" s="11" t="s">
        <v>18</v>
      </c>
    </row>
    <row r="604" spans="1:11" hidden="1">
      <c r="A604" s="10" t="s">
        <v>60</v>
      </c>
      <c r="B604" s="11" t="s">
        <v>19</v>
      </c>
      <c r="H604" s="18">
        <v>449</v>
      </c>
      <c r="K604" s="18">
        <v>248</v>
      </c>
    </row>
    <row r="605" spans="1:11" hidden="1">
      <c r="A605" s="10" t="s">
        <v>60</v>
      </c>
      <c r="B605" s="11" t="s">
        <v>20</v>
      </c>
      <c r="H605" s="18"/>
      <c r="K605" s="18"/>
    </row>
    <row r="606" spans="1:11">
      <c r="A606" s="10" t="s">
        <v>60</v>
      </c>
      <c r="B606" s="11" t="s">
        <v>21</v>
      </c>
      <c r="H606" s="5">
        <v>120</v>
      </c>
      <c r="K606" s="5">
        <v>819</v>
      </c>
    </row>
    <row r="607" spans="1:11" hidden="1">
      <c r="A607" s="10" t="s">
        <v>60</v>
      </c>
      <c r="B607" s="11" t="s">
        <v>22</v>
      </c>
      <c r="K607" s="5">
        <v>30</v>
      </c>
    </row>
    <row r="608" spans="1:11" hidden="1">
      <c r="A608" s="10" t="s">
        <v>60</v>
      </c>
      <c r="B608" s="11" t="s">
        <v>23</v>
      </c>
    </row>
    <row r="609" spans="1:11" hidden="1">
      <c r="A609" s="10" t="s">
        <v>60</v>
      </c>
      <c r="B609" s="11" t="s">
        <v>24</v>
      </c>
      <c r="H609" s="5">
        <v>51</v>
      </c>
      <c r="K609" s="5">
        <v>50</v>
      </c>
    </row>
    <row r="610" spans="1:11" hidden="1">
      <c r="A610" s="10" t="s">
        <v>60</v>
      </c>
      <c r="B610" s="11" t="s">
        <v>25</v>
      </c>
      <c r="H610" s="5">
        <v>2779</v>
      </c>
      <c r="K610" s="5">
        <v>580</v>
      </c>
    </row>
    <row r="611" spans="1:11" hidden="1">
      <c r="A611" s="10" t="s">
        <v>60</v>
      </c>
      <c r="B611" s="11" t="s">
        <v>26</v>
      </c>
      <c r="H611" s="5">
        <v>275</v>
      </c>
      <c r="K611" s="5">
        <v>117</v>
      </c>
    </row>
    <row r="612" spans="1:11" hidden="1">
      <c r="A612" s="10" t="s">
        <v>60</v>
      </c>
      <c r="B612" s="11" t="s">
        <v>27</v>
      </c>
      <c r="K612" s="5">
        <v>25</v>
      </c>
    </row>
    <row r="613" spans="1:11" hidden="1">
      <c r="A613" s="10" t="s">
        <v>60</v>
      </c>
      <c r="B613" s="11" t="s">
        <v>28</v>
      </c>
    </row>
    <row r="614" spans="1:11" hidden="1">
      <c r="A614" s="10" t="s">
        <v>60</v>
      </c>
      <c r="B614" s="11" t="s">
        <v>29</v>
      </c>
      <c r="H614" s="5">
        <v>301</v>
      </c>
      <c r="K614" s="5">
        <f>72+40</f>
        <v>112</v>
      </c>
    </row>
    <row r="615" spans="1:11" hidden="1">
      <c r="A615" s="10" t="s">
        <v>60</v>
      </c>
      <c r="B615" s="11" t="s">
        <v>30</v>
      </c>
      <c r="K615" s="5">
        <v>370</v>
      </c>
    </row>
    <row r="616" spans="1:11" hidden="1">
      <c r="A616" s="10" t="s">
        <v>60</v>
      </c>
      <c r="B616" s="11" t="s">
        <v>31</v>
      </c>
      <c r="K616" s="5">
        <v>30</v>
      </c>
    </row>
    <row r="617" spans="1:11" hidden="1">
      <c r="A617" s="10" t="s">
        <v>60</v>
      </c>
      <c r="B617" s="11" t="s">
        <v>32</v>
      </c>
    </row>
    <row r="618" spans="1:11" hidden="1">
      <c r="A618" s="10" t="s">
        <v>60</v>
      </c>
      <c r="B618" s="11" t="s">
        <v>33</v>
      </c>
    </row>
    <row r="619" spans="1:11" hidden="1">
      <c r="A619" s="10" t="s">
        <v>61</v>
      </c>
      <c r="B619" s="11" t="s">
        <v>12</v>
      </c>
    </row>
    <row r="620" spans="1:11" hidden="1">
      <c r="A620" s="10" t="s">
        <v>61</v>
      </c>
      <c r="B620" s="11" t="s">
        <v>13</v>
      </c>
    </row>
    <row r="621" spans="1:11" hidden="1">
      <c r="A621" s="10" t="s">
        <v>61</v>
      </c>
      <c r="B621" s="11" t="s">
        <v>14</v>
      </c>
    </row>
    <row r="622" spans="1:11" hidden="1">
      <c r="A622" s="10" t="s">
        <v>61</v>
      </c>
      <c r="B622" s="11" t="s">
        <v>15</v>
      </c>
    </row>
    <row r="623" spans="1:11" hidden="1">
      <c r="A623" s="10" t="s">
        <v>61</v>
      </c>
      <c r="B623" s="11" t="s">
        <v>16</v>
      </c>
    </row>
    <row r="624" spans="1:11" hidden="1">
      <c r="A624" s="10" t="s">
        <v>61</v>
      </c>
      <c r="B624" s="11" t="s">
        <v>17</v>
      </c>
    </row>
    <row r="625" spans="1:2" hidden="1">
      <c r="A625" s="10" t="s">
        <v>61</v>
      </c>
      <c r="B625" s="11" t="s">
        <v>18</v>
      </c>
    </row>
    <row r="626" spans="1:2" hidden="1">
      <c r="A626" s="10" t="s">
        <v>61</v>
      </c>
      <c r="B626" s="11" t="s">
        <v>19</v>
      </c>
    </row>
    <row r="627" spans="1:2" hidden="1">
      <c r="A627" s="10" t="s">
        <v>61</v>
      </c>
      <c r="B627" s="11" t="s">
        <v>20</v>
      </c>
    </row>
    <row r="628" spans="1:2">
      <c r="A628" s="10" t="s">
        <v>61</v>
      </c>
      <c r="B628" s="11" t="s">
        <v>21</v>
      </c>
    </row>
    <row r="629" spans="1:2" hidden="1">
      <c r="A629" s="10" t="s">
        <v>61</v>
      </c>
      <c r="B629" s="11" t="s">
        <v>22</v>
      </c>
    </row>
    <row r="630" spans="1:2" hidden="1">
      <c r="A630" s="10" t="s">
        <v>61</v>
      </c>
      <c r="B630" s="11" t="s">
        <v>23</v>
      </c>
    </row>
    <row r="631" spans="1:2" hidden="1">
      <c r="A631" s="10" t="s">
        <v>61</v>
      </c>
      <c r="B631" s="11" t="s">
        <v>24</v>
      </c>
    </row>
    <row r="632" spans="1:2" hidden="1">
      <c r="A632" s="10" t="s">
        <v>61</v>
      </c>
      <c r="B632" s="11" t="s">
        <v>25</v>
      </c>
    </row>
    <row r="633" spans="1:2" hidden="1">
      <c r="A633" s="10" t="s">
        <v>61</v>
      </c>
      <c r="B633" s="11" t="s">
        <v>26</v>
      </c>
    </row>
    <row r="634" spans="1:2" hidden="1">
      <c r="A634" s="10" t="s">
        <v>61</v>
      </c>
      <c r="B634" s="11" t="s">
        <v>27</v>
      </c>
    </row>
    <row r="635" spans="1:2" hidden="1">
      <c r="A635" s="10" t="s">
        <v>61</v>
      </c>
      <c r="B635" s="11" t="s">
        <v>28</v>
      </c>
    </row>
    <row r="636" spans="1:2" hidden="1">
      <c r="A636" s="10" t="s">
        <v>61</v>
      </c>
      <c r="B636" s="11" t="s">
        <v>29</v>
      </c>
    </row>
    <row r="637" spans="1:2" hidden="1">
      <c r="A637" s="10" t="s">
        <v>61</v>
      </c>
      <c r="B637" s="11" t="s">
        <v>30</v>
      </c>
    </row>
    <row r="638" spans="1:2" hidden="1">
      <c r="A638" s="10" t="s">
        <v>61</v>
      </c>
      <c r="B638" s="11" t="s">
        <v>31</v>
      </c>
    </row>
    <row r="639" spans="1:2" hidden="1">
      <c r="A639" s="10" t="s">
        <v>61</v>
      </c>
      <c r="B639" s="11" t="s">
        <v>32</v>
      </c>
    </row>
    <row r="640" spans="1:2" hidden="1">
      <c r="A640" s="10" t="s">
        <v>61</v>
      </c>
      <c r="B640" s="11" t="s">
        <v>33</v>
      </c>
    </row>
    <row r="641" spans="1:2" hidden="1">
      <c r="A641" s="10" t="s">
        <v>62</v>
      </c>
      <c r="B641" s="11" t="s">
        <v>12</v>
      </c>
    </row>
    <row r="642" spans="1:2" hidden="1">
      <c r="A642" s="10" t="s">
        <v>62</v>
      </c>
      <c r="B642" s="11" t="s">
        <v>13</v>
      </c>
    </row>
    <row r="643" spans="1:2" hidden="1">
      <c r="A643" s="10" t="s">
        <v>62</v>
      </c>
      <c r="B643" s="11" t="s">
        <v>14</v>
      </c>
    </row>
    <row r="644" spans="1:2" hidden="1">
      <c r="A644" s="10" t="s">
        <v>62</v>
      </c>
      <c r="B644" s="11" t="s">
        <v>15</v>
      </c>
    </row>
    <row r="645" spans="1:2" hidden="1">
      <c r="A645" s="10" t="s">
        <v>62</v>
      </c>
      <c r="B645" s="11" t="s">
        <v>16</v>
      </c>
    </row>
    <row r="646" spans="1:2" hidden="1">
      <c r="A646" s="10" t="s">
        <v>62</v>
      </c>
      <c r="B646" s="11" t="s">
        <v>17</v>
      </c>
    </row>
    <row r="647" spans="1:2" hidden="1">
      <c r="A647" s="10" t="s">
        <v>62</v>
      </c>
      <c r="B647" s="11" t="s">
        <v>18</v>
      </c>
    </row>
    <row r="648" spans="1:2" hidden="1">
      <c r="A648" s="10" t="s">
        <v>62</v>
      </c>
      <c r="B648" s="11" t="s">
        <v>19</v>
      </c>
    </row>
    <row r="649" spans="1:2" hidden="1">
      <c r="A649" s="10" t="s">
        <v>62</v>
      </c>
      <c r="B649" s="11" t="s">
        <v>20</v>
      </c>
    </row>
    <row r="650" spans="1:2">
      <c r="A650" s="10" t="s">
        <v>62</v>
      </c>
      <c r="B650" s="11" t="s">
        <v>21</v>
      </c>
    </row>
    <row r="651" spans="1:2" hidden="1">
      <c r="A651" s="10" t="s">
        <v>62</v>
      </c>
      <c r="B651" s="11" t="s">
        <v>22</v>
      </c>
    </row>
    <row r="652" spans="1:2" hidden="1">
      <c r="A652" s="10" t="s">
        <v>62</v>
      </c>
      <c r="B652" s="11" t="s">
        <v>23</v>
      </c>
    </row>
    <row r="653" spans="1:2" hidden="1">
      <c r="A653" s="10" t="s">
        <v>62</v>
      </c>
      <c r="B653" s="11" t="s">
        <v>24</v>
      </c>
    </row>
    <row r="654" spans="1:2" hidden="1">
      <c r="A654" s="10" t="s">
        <v>62</v>
      </c>
      <c r="B654" s="11" t="s">
        <v>25</v>
      </c>
    </row>
    <row r="655" spans="1:2" hidden="1">
      <c r="A655" s="10" t="s">
        <v>62</v>
      </c>
      <c r="B655" s="11" t="s">
        <v>26</v>
      </c>
    </row>
    <row r="656" spans="1:2" hidden="1">
      <c r="A656" s="10" t="s">
        <v>62</v>
      </c>
      <c r="B656" s="11" t="s">
        <v>27</v>
      </c>
    </row>
    <row r="657" spans="1:2" hidden="1">
      <c r="A657" s="10" t="s">
        <v>62</v>
      </c>
      <c r="B657" s="11" t="s">
        <v>28</v>
      </c>
    </row>
    <row r="658" spans="1:2" hidden="1">
      <c r="A658" s="10" t="s">
        <v>62</v>
      </c>
      <c r="B658" s="11" t="s">
        <v>29</v>
      </c>
    </row>
    <row r="659" spans="1:2" hidden="1">
      <c r="A659" s="10" t="s">
        <v>62</v>
      </c>
      <c r="B659" s="11" t="s">
        <v>30</v>
      </c>
    </row>
    <row r="660" spans="1:2" hidden="1">
      <c r="A660" s="10" t="s">
        <v>62</v>
      </c>
      <c r="B660" s="11" t="s">
        <v>31</v>
      </c>
    </row>
    <row r="661" spans="1:2" hidden="1">
      <c r="A661" s="10" t="s">
        <v>62</v>
      </c>
      <c r="B661" s="11" t="s">
        <v>32</v>
      </c>
    </row>
    <row r="662" spans="1:2" hidden="1">
      <c r="A662" s="10" t="s">
        <v>62</v>
      </c>
      <c r="B662" s="11" t="s">
        <v>33</v>
      </c>
    </row>
    <row r="663" spans="1:2" hidden="1">
      <c r="A663" s="10" t="s">
        <v>63</v>
      </c>
      <c r="B663" s="11" t="s">
        <v>12</v>
      </c>
    </row>
    <row r="664" spans="1:2" hidden="1">
      <c r="A664" s="10" t="s">
        <v>63</v>
      </c>
      <c r="B664" s="11" t="s">
        <v>13</v>
      </c>
    </row>
    <row r="665" spans="1:2" hidden="1">
      <c r="A665" s="10" t="s">
        <v>63</v>
      </c>
      <c r="B665" s="11" t="s">
        <v>14</v>
      </c>
    </row>
    <row r="666" spans="1:2" hidden="1">
      <c r="A666" s="10" t="s">
        <v>63</v>
      </c>
      <c r="B666" s="11" t="s">
        <v>15</v>
      </c>
    </row>
    <row r="667" spans="1:2" hidden="1">
      <c r="A667" s="10" t="s">
        <v>63</v>
      </c>
      <c r="B667" s="11" t="s">
        <v>16</v>
      </c>
    </row>
    <row r="668" spans="1:2" hidden="1">
      <c r="A668" s="10" t="s">
        <v>63</v>
      </c>
      <c r="B668" s="11" t="s">
        <v>17</v>
      </c>
    </row>
    <row r="669" spans="1:2" hidden="1">
      <c r="A669" s="10" t="s">
        <v>63</v>
      </c>
      <c r="B669" s="11" t="s">
        <v>18</v>
      </c>
    </row>
    <row r="670" spans="1:2" hidden="1">
      <c r="A670" s="10" t="s">
        <v>63</v>
      </c>
      <c r="B670" s="11" t="s">
        <v>19</v>
      </c>
    </row>
    <row r="671" spans="1:2" hidden="1">
      <c r="A671" s="10" t="s">
        <v>63</v>
      </c>
      <c r="B671" s="11" t="s">
        <v>20</v>
      </c>
    </row>
    <row r="672" spans="1:2">
      <c r="A672" s="10" t="s">
        <v>63</v>
      </c>
      <c r="B672" s="11" t="s">
        <v>21</v>
      </c>
    </row>
    <row r="673" spans="1:2" hidden="1">
      <c r="A673" s="10" t="s">
        <v>63</v>
      </c>
      <c r="B673" s="11" t="s">
        <v>22</v>
      </c>
    </row>
    <row r="674" spans="1:2" hidden="1">
      <c r="A674" s="10" t="s">
        <v>63</v>
      </c>
      <c r="B674" s="11" t="s">
        <v>23</v>
      </c>
    </row>
    <row r="675" spans="1:2" hidden="1">
      <c r="A675" s="10" t="s">
        <v>63</v>
      </c>
      <c r="B675" s="11" t="s">
        <v>24</v>
      </c>
    </row>
    <row r="676" spans="1:2" hidden="1">
      <c r="A676" s="10" t="s">
        <v>63</v>
      </c>
      <c r="B676" s="11" t="s">
        <v>25</v>
      </c>
    </row>
    <row r="677" spans="1:2" hidden="1">
      <c r="A677" s="10" t="s">
        <v>63</v>
      </c>
      <c r="B677" s="11" t="s">
        <v>26</v>
      </c>
    </row>
    <row r="678" spans="1:2" hidden="1">
      <c r="A678" s="10" t="s">
        <v>63</v>
      </c>
      <c r="B678" s="11" t="s">
        <v>27</v>
      </c>
    </row>
    <row r="679" spans="1:2" hidden="1">
      <c r="A679" s="10" t="s">
        <v>63</v>
      </c>
      <c r="B679" s="11" t="s">
        <v>28</v>
      </c>
    </row>
    <row r="680" spans="1:2" hidden="1">
      <c r="A680" s="10" t="s">
        <v>63</v>
      </c>
      <c r="B680" s="11" t="s">
        <v>29</v>
      </c>
    </row>
    <row r="681" spans="1:2" hidden="1">
      <c r="A681" s="10" t="s">
        <v>63</v>
      </c>
      <c r="B681" s="11" t="s">
        <v>30</v>
      </c>
    </row>
    <row r="682" spans="1:2" hidden="1">
      <c r="A682" s="10" t="s">
        <v>63</v>
      </c>
      <c r="B682" s="11" t="s">
        <v>31</v>
      </c>
    </row>
    <row r="683" spans="1:2" hidden="1">
      <c r="A683" s="10" t="s">
        <v>63</v>
      </c>
      <c r="B683" s="11" t="s">
        <v>32</v>
      </c>
    </row>
    <row r="684" spans="1:2" hidden="1">
      <c r="A684" s="10" t="s">
        <v>63</v>
      </c>
      <c r="B684" s="11" t="s">
        <v>33</v>
      </c>
    </row>
    <row r="685" spans="1:2" hidden="1">
      <c r="A685" s="10" t="s">
        <v>64</v>
      </c>
      <c r="B685" s="11" t="s">
        <v>12</v>
      </c>
    </row>
    <row r="686" spans="1:2" hidden="1">
      <c r="A686" s="10" t="s">
        <v>64</v>
      </c>
      <c r="B686" s="11" t="s">
        <v>13</v>
      </c>
    </row>
    <row r="687" spans="1:2" hidden="1">
      <c r="A687" s="10" t="s">
        <v>64</v>
      </c>
      <c r="B687" s="11" t="s">
        <v>14</v>
      </c>
    </row>
    <row r="688" spans="1:2" hidden="1">
      <c r="A688" s="10" t="s">
        <v>64</v>
      </c>
      <c r="B688" s="11" t="s">
        <v>15</v>
      </c>
    </row>
    <row r="689" spans="1:10" hidden="1">
      <c r="A689" s="10" t="s">
        <v>64</v>
      </c>
      <c r="B689" s="11" t="s">
        <v>16</v>
      </c>
    </row>
    <row r="690" spans="1:10" hidden="1">
      <c r="A690" s="10" t="s">
        <v>64</v>
      </c>
      <c r="B690" s="11" t="s">
        <v>17</v>
      </c>
      <c r="J690" s="5">
        <v>125</v>
      </c>
    </row>
    <row r="691" spans="1:10" hidden="1">
      <c r="A691" s="10" t="s">
        <v>64</v>
      </c>
      <c r="B691" s="11" t="s">
        <v>18</v>
      </c>
    </row>
    <row r="692" spans="1:10" hidden="1">
      <c r="A692" s="10" t="s">
        <v>64</v>
      </c>
      <c r="B692" s="11" t="s">
        <v>19</v>
      </c>
      <c r="J692" s="5">
        <v>53</v>
      </c>
    </row>
    <row r="693" spans="1:10" hidden="1">
      <c r="A693" s="10" t="s">
        <v>64</v>
      </c>
      <c r="B693" s="11" t="s">
        <v>20</v>
      </c>
    </row>
    <row r="694" spans="1:10">
      <c r="A694" s="10" t="s">
        <v>64</v>
      </c>
      <c r="B694" s="11" t="s">
        <v>21</v>
      </c>
      <c r="J694" s="5">
        <v>475</v>
      </c>
    </row>
    <row r="695" spans="1:10" hidden="1">
      <c r="A695" s="10" t="s">
        <v>64</v>
      </c>
      <c r="B695" s="11" t="s">
        <v>22</v>
      </c>
      <c r="J695" s="5">
        <f>56+12</f>
        <v>68</v>
      </c>
    </row>
    <row r="696" spans="1:10" hidden="1">
      <c r="A696" s="10" t="s">
        <v>64</v>
      </c>
      <c r="B696" s="11" t="s">
        <v>23</v>
      </c>
    </row>
    <row r="697" spans="1:10" hidden="1">
      <c r="A697" s="10" t="s">
        <v>64</v>
      </c>
      <c r="B697" s="11" t="s">
        <v>24</v>
      </c>
      <c r="J697" s="18">
        <v>1414</v>
      </c>
    </row>
    <row r="698" spans="1:10" hidden="1">
      <c r="A698" s="10" t="s">
        <v>64</v>
      </c>
      <c r="B698" s="11" t="s">
        <v>25</v>
      </c>
      <c r="J698" s="18"/>
    </row>
    <row r="699" spans="1:10" hidden="1">
      <c r="A699" s="10" t="s">
        <v>64</v>
      </c>
      <c r="B699" s="11" t="s">
        <v>26</v>
      </c>
    </row>
    <row r="700" spans="1:10" hidden="1">
      <c r="A700" s="10" t="s">
        <v>64</v>
      </c>
      <c r="B700" s="11" t="s">
        <v>27</v>
      </c>
    </row>
    <row r="701" spans="1:10" hidden="1">
      <c r="A701" s="10" t="s">
        <v>64</v>
      </c>
      <c r="B701" s="11" t="s">
        <v>28</v>
      </c>
    </row>
    <row r="702" spans="1:10" hidden="1">
      <c r="A702" s="10" t="s">
        <v>64</v>
      </c>
      <c r="B702" s="11" t="s">
        <v>29</v>
      </c>
    </row>
    <row r="703" spans="1:10" hidden="1">
      <c r="A703" s="10" t="s">
        <v>64</v>
      </c>
      <c r="B703" s="11" t="s">
        <v>30</v>
      </c>
      <c r="J703" s="5">
        <v>247</v>
      </c>
    </row>
    <row r="704" spans="1:10" hidden="1">
      <c r="A704" s="10" t="s">
        <v>64</v>
      </c>
      <c r="B704" s="11" t="s">
        <v>31</v>
      </c>
    </row>
    <row r="705" spans="1:10" hidden="1">
      <c r="A705" s="10" t="s">
        <v>64</v>
      </c>
      <c r="B705" s="11" t="s">
        <v>32</v>
      </c>
      <c r="J705" s="5">
        <v>50</v>
      </c>
    </row>
    <row r="706" spans="1:10" hidden="1">
      <c r="A706" s="10" t="s">
        <v>64</v>
      </c>
      <c r="B706" s="11" t="s">
        <v>33</v>
      </c>
    </row>
    <row r="707" spans="1:10" hidden="1">
      <c r="A707" s="10" t="s">
        <v>65</v>
      </c>
      <c r="B707" s="11" t="s">
        <v>12</v>
      </c>
    </row>
    <row r="708" spans="1:10" hidden="1">
      <c r="A708" s="10" t="s">
        <v>65</v>
      </c>
      <c r="B708" s="11" t="s">
        <v>13</v>
      </c>
    </row>
    <row r="709" spans="1:10" hidden="1">
      <c r="A709" s="10" t="s">
        <v>65</v>
      </c>
      <c r="B709" s="11" t="s">
        <v>14</v>
      </c>
    </row>
    <row r="710" spans="1:10" hidden="1">
      <c r="A710" s="10" t="s">
        <v>65</v>
      </c>
      <c r="B710" s="11" t="s">
        <v>15</v>
      </c>
    </row>
    <row r="711" spans="1:10" hidden="1">
      <c r="A711" s="10" t="s">
        <v>65</v>
      </c>
      <c r="B711" s="11" t="s">
        <v>16</v>
      </c>
    </row>
    <row r="712" spans="1:10" hidden="1">
      <c r="A712" s="10" t="s">
        <v>65</v>
      </c>
      <c r="B712" s="11" t="s">
        <v>17</v>
      </c>
      <c r="C712" s="5">
        <v>14</v>
      </c>
    </row>
    <row r="713" spans="1:10" hidden="1">
      <c r="A713" s="10" t="s">
        <v>65</v>
      </c>
      <c r="B713" s="11" t="s">
        <v>18</v>
      </c>
    </row>
    <row r="714" spans="1:10" hidden="1">
      <c r="A714" s="10" t="s">
        <v>65</v>
      </c>
      <c r="B714" s="11" t="s">
        <v>19</v>
      </c>
      <c r="C714" s="5">
        <v>43</v>
      </c>
    </row>
    <row r="715" spans="1:10" hidden="1">
      <c r="A715" s="10" t="s">
        <v>65</v>
      </c>
      <c r="B715" s="11" t="s">
        <v>20</v>
      </c>
    </row>
    <row r="716" spans="1:10">
      <c r="A716" s="10" t="s">
        <v>65</v>
      </c>
      <c r="B716" s="11" t="s">
        <v>21</v>
      </c>
      <c r="C716" s="5">
        <f>100+46</f>
        <v>146</v>
      </c>
      <c r="F716" s="5">
        <v>1408</v>
      </c>
      <c r="I716" s="5">
        <f>250+120</f>
        <v>370</v>
      </c>
    </row>
    <row r="717" spans="1:10" hidden="1">
      <c r="A717" s="10" t="s">
        <v>65</v>
      </c>
      <c r="B717" s="11" t="s">
        <v>22</v>
      </c>
    </row>
    <row r="718" spans="1:10" hidden="1">
      <c r="A718" s="10" t="s">
        <v>65</v>
      </c>
      <c r="B718" s="11" t="s">
        <v>23</v>
      </c>
    </row>
    <row r="719" spans="1:10" hidden="1">
      <c r="A719" s="10" t="s">
        <v>65</v>
      </c>
      <c r="B719" s="11" t="s">
        <v>24</v>
      </c>
      <c r="C719" s="5">
        <v>95</v>
      </c>
    </row>
    <row r="720" spans="1:10" hidden="1">
      <c r="A720" s="10" t="s">
        <v>65</v>
      </c>
      <c r="B720" s="11" t="s">
        <v>25</v>
      </c>
      <c r="C720" s="5">
        <v>282</v>
      </c>
    </row>
    <row r="721" spans="1:3" hidden="1">
      <c r="A721" s="10" t="s">
        <v>65</v>
      </c>
      <c r="B721" s="11" t="s">
        <v>26</v>
      </c>
    </row>
    <row r="722" spans="1:3" hidden="1">
      <c r="A722" s="10" t="s">
        <v>65</v>
      </c>
      <c r="B722" s="11" t="s">
        <v>27</v>
      </c>
    </row>
    <row r="723" spans="1:3" hidden="1">
      <c r="A723" s="10" t="s">
        <v>65</v>
      </c>
      <c r="B723" s="11" t="s">
        <v>28</v>
      </c>
    </row>
    <row r="724" spans="1:3" hidden="1">
      <c r="A724" s="10" t="s">
        <v>65</v>
      </c>
      <c r="B724" s="11" t="s">
        <v>29</v>
      </c>
    </row>
    <row r="725" spans="1:3" hidden="1">
      <c r="A725" s="10" t="s">
        <v>65</v>
      </c>
      <c r="B725" s="11" t="s">
        <v>30</v>
      </c>
    </row>
    <row r="726" spans="1:3" hidden="1">
      <c r="A726" s="10" t="s">
        <v>65</v>
      </c>
      <c r="B726" s="11" t="s">
        <v>31</v>
      </c>
    </row>
    <row r="727" spans="1:3" hidden="1">
      <c r="A727" s="10" t="s">
        <v>65</v>
      </c>
      <c r="B727" s="11" t="s">
        <v>32</v>
      </c>
    </row>
    <row r="728" spans="1:3" hidden="1">
      <c r="A728" s="10" t="s">
        <v>65</v>
      </c>
      <c r="B728" s="11" t="s">
        <v>33</v>
      </c>
      <c r="C728" s="5">
        <v>13</v>
      </c>
    </row>
    <row r="729" spans="1:3" hidden="1">
      <c r="A729" s="10" t="s">
        <v>66</v>
      </c>
      <c r="B729" s="11" t="s">
        <v>12</v>
      </c>
    </row>
    <row r="730" spans="1:3" hidden="1">
      <c r="A730" s="10" t="s">
        <v>66</v>
      </c>
      <c r="B730" s="11" t="s">
        <v>13</v>
      </c>
    </row>
    <row r="731" spans="1:3" hidden="1">
      <c r="A731" s="10" t="s">
        <v>66</v>
      </c>
      <c r="B731" s="11" t="s">
        <v>14</v>
      </c>
    </row>
    <row r="732" spans="1:3" hidden="1">
      <c r="A732" s="10" t="s">
        <v>66</v>
      </c>
      <c r="B732" s="11" t="s">
        <v>15</v>
      </c>
    </row>
    <row r="733" spans="1:3" hidden="1">
      <c r="A733" s="10" t="s">
        <v>66</v>
      </c>
      <c r="B733" s="11" t="s">
        <v>16</v>
      </c>
    </row>
    <row r="734" spans="1:3" hidden="1">
      <c r="A734" s="10" t="s">
        <v>66</v>
      </c>
      <c r="B734" s="11" t="s">
        <v>17</v>
      </c>
    </row>
    <row r="735" spans="1:3" hidden="1">
      <c r="A735" s="10" t="s">
        <v>66</v>
      </c>
      <c r="B735" s="11" t="s">
        <v>18</v>
      </c>
    </row>
    <row r="736" spans="1:3" hidden="1">
      <c r="A736" s="10" t="s">
        <v>66</v>
      </c>
      <c r="B736" s="11" t="s">
        <v>19</v>
      </c>
    </row>
    <row r="737" spans="1:2" hidden="1">
      <c r="A737" s="10" t="s">
        <v>66</v>
      </c>
      <c r="B737" s="11" t="s">
        <v>20</v>
      </c>
    </row>
    <row r="738" spans="1:2">
      <c r="A738" s="10" t="s">
        <v>66</v>
      </c>
      <c r="B738" s="11" t="s">
        <v>21</v>
      </c>
    </row>
    <row r="739" spans="1:2" hidden="1">
      <c r="A739" s="10" t="s">
        <v>66</v>
      </c>
      <c r="B739" s="11" t="s">
        <v>22</v>
      </c>
    </row>
    <row r="740" spans="1:2" hidden="1">
      <c r="A740" s="10" t="s">
        <v>66</v>
      </c>
      <c r="B740" s="11" t="s">
        <v>23</v>
      </c>
    </row>
    <row r="741" spans="1:2" hidden="1">
      <c r="A741" s="10" t="s">
        <v>66</v>
      </c>
      <c r="B741" s="11" t="s">
        <v>24</v>
      </c>
    </row>
    <row r="742" spans="1:2" hidden="1">
      <c r="A742" s="10" t="s">
        <v>66</v>
      </c>
      <c r="B742" s="11" t="s">
        <v>25</v>
      </c>
    </row>
    <row r="743" spans="1:2" hidden="1">
      <c r="A743" s="10" t="s">
        <v>66</v>
      </c>
      <c r="B743" s="11" t="s">
        <v>26</v>
      </c>
    </row>
    <row r="744" spans="1:2" hidden="1">
      <c r="A744" s="10" t="s">
        <v>66</v>
      </c>
      <c r="B744" s="11" t="s">
        <v>27</v>
      </c>
    </row>
    <row r="745" spans="1:2" hidden="1">
      <c r="A745" s="10" t="s">
        <v>66</v>
      </c>
      <c r="B745" s="11" t="s">
        <v>28</v>
      </c>
    </row>
    <row r="746" spans="1:2" hidden="1">
      <c r="A746" s="10" t="s">
        <v>66</v>
      </c>
      <c r="B746" s="11" t="s">
        <v>29</v>
      </c>
    </row>
    <row r="747" spans="1:2" hidden="1">
      <c r="A747" s="10" t="s">
        <v>66</v>
      </c>
      <c r="B747" s="11" t="s">
        <v>30</v>
      </c>
    </row>
    <row r="748" spans="1:2" hidden="1">
      <c r="A748" s="10" t="s">
        <v>66</v>
      </c>
      <c r="B748" s="11" t="s">
        <v>31</v>
      </c>
    </row>
    <row r="749" spans="1:2" hidden="1">
      <c r="A749" s="10" t="s">
        <v>66</v>
      </c>
      <c r="B749" s="11" t="s">
        <v>32</v>
      </c>
    </row>
    <row r="750" spans="1:2" hidden="1">
      <c r="A750" s="10" t="s">
        <v>66</v>
      </c>
      <c r="B750" s="11" t="s">
        <v>33</v>
      </c>
    </row>
    <row r="751" spans="1:2" hidden="1">
      <c r="A751" s="10" t="s">
        <v>67</v>
      </c>
      <c r="B751" s="11" t="s">
        <v>12</v>
      </c>
    </row>
    <row r="752" spans="1:2" hidden="1">
      <c r="A752" s="10" t="s">
        <v>67</v>
      </c>
      <c r="B752" s="11" t="s">
        <v>13</v>
      </c>
    </row>
    <row r="753" spans="1:3" hidden="1">
      <c r="A753" s="10" t="s">
        <v>67</v>
      </c>
      <c r="B753" s="11" t="s">
        <v>14</v>
      </c>
    </row>
    <row r="754" spans="1:3" hidden="1">
      <c r="A754" s="10" t="s">
        <v>67</v>
      </c>
      <c r="B754" s="11" t="s">
        <v>15</v>
      </c>
    </row>
    <row r="755" spans="1:3" hidden="1">
      <c r="A755" s="10" t="s">
        <v>67</v>
      </c>
      <c r="B755" s="11" t="s">
        <v>16</v>
      </c>
    </row>
    <row r="756" spans="1:3" hidden="1">
      <c r="A756" s="10" t="s">
        <v>67</v>
      </c>
      <c r="B756" s="11" t="s">
        <v>17</v>
      </c>
      <c r="C756" s="5">
        <v>43</v>
      </c>
    </row>
    <row r="757" spans="1:3" hidden="1">
      <c r="A757" s="10" t="s">
        <v>67</v>
      </c>
      <c r="B757" s="11" t="s">
        <v>18</v>
      </c>
    </row>
    <row r="758" spans="1:3" hidden="1">
      <c r="A758" s="10" t="s">
        <v>67</v>
      </c>
      <c r="B758" s="11" t="s">
        <v>19</v>
      </c>
      <c r="C758" s="5">
        <v>37</v>
      </c>
    </row>
    <row r="759" spans="1:3" hidden="1">
      <c r="A759" s="10" t="s">
        <v>67</v>
      </c>
      <c r="B759" s="11" t="s">
        <v>20</v>
      </c>
    </row>
    <row r="760" spans="1:3">
      <c r="A760" s="10" t="s">
        <v>67</v>
      </c>
      <c r="B760" s="11" t="s">
        <v>21</v>
      </c>
      <c r="C760" s="5">
        <f>1+7+3</f>
        <v>11</v>
      </c>
    </row>
    <row r="761" spans="1:3" hidden="1">
      <c r="A761" s="10" t="s">
        <v>67</v>
      </c>
      <c r="B761" s="11" t="s">
        <v>22</v>
      </c>
    </row>
    <row r="762" spans="1:3" hidden="1">
      <c r="A762" s="10" t="s">
        <v>67</v>
      </c>
      <c r="B762" s="11" t="s">
        <v>23</v>
      </c>
    </row>
    <row r="763" spans="1:3" hidden="1">
      <c r="A763" s="10" t="s">
        <v>67</v>
      </c>
      <c r="B763" s="11" t="s">
        <v>24</v>
      </c>
      <c r="C763" s="5">
        <v>176</v>
      </c>
    </row>
    <row r="764" spans="1:3" hidden="1">
      <c r="A764" s="10" t="s">
        <v>67</v>
      </c>
      <c r="B764" s="11" t="s">
        <v>25</v>
      </c>
      <c r="C764" s="5">
        <f>303+39+13</f>
        <v>355</v>
      </c>
    </row>
    <row r="765" spans="1:3" hidden="1">
      <c r="A765" s="10" t="s">
        <v>67</v>
      </c>
      <c r="B765" s="11" t="s">
        <v>26</v>
      </c>
    </row>
    <row r="766" spans="1:3" hidden="1">
      <c r="A766" s="10" t="s">
        <v>67</v>
      </c>
      <c r="B766" s="11" t="s">
        <v>27</v>
      </c>
    </row>
    <row r="767" spans="1:3" hidden="1">
      <c r="A767" s="10" t="s">
        <v>67</v>
      </c>
      <c r="B767" s="11" t="s">
        <v>28</v>
      </c>
    </row>
    <row r="768" spans="1:3" hidden="1">
      <c r="A768" s="10" t="s">
        <v>67</v>
      </c>
      <c r="B768" s="11" t="s">
        <v>29</v>
      </c>
    </row>
    <row r="769" spans="1:3" hidden="1">
      <c r="A769" s="10" t="s">
        <v>67</v>
      </c>
      <c r="B769" s="11" t="s">
        <v>30</v>
      </c>
      <c r="C769" s="5">
        <v>95</v>
      </c>
    </row>
    <row r="770" spans="1:3" hidden="1">
      <c r="A770" s="10" t="s">
        <v>67</v>
      </c>
      <c r="B770" s="11" t="s">
        <v>31</v>
      </c>
      <c r="C770" s="5">
        <v>38</v>
      </c>
    </row>
    <row r="771" spans="1:3" hidden="1">
      <c r="A771" s="10" t="s">
        <v>67</v>
      </c>
      <c r="B771" s="11" t="s">
        <v>32</v>
      </c>
    </row>
    <row r="772" spans="1:3" hidden="1">
      <c r="A772" s="10" t="s">
        <v>67</v>
      </c>
      <c r="B772" s="11" t="s">
        <v>33</v>
      </c>
    </row>
    <row r="773" spans="1:3" hidden="1">
      <c r="A773" s="10" t="s">
        <v>68</v>
      </c>
      <c r="B773" s="11" t="s">
        <v>12</v>
      </c>
    </row>
    <row r="774" spans="1:3" hidden="1">
      <c r="A774" s="10" t="s">
        <v>68</v>
      </c>
      <c r="B774" s="11" t="s">
        <v>13</v>
      </c>
    </row>
    <row r="775" spans="1:3" hidden="1">
      <c r="A775" s="10" t="s">
        <v>68</v>
      </c>
      <c r="B775" s="11" t="s">
        <v>14</v>
      </c>
    </row>
    <row r="776" spans="1:3" hidden="1">
      <c r="A776" s="10" t="s">
        <v>68</v>
      </c>
      <c r="B776" s="11" t="s">
        <v>15</v>
      </c>
    </row>
    <row r="777" spans="1:3" hidden="1">
      <c r="A777" s="10" t="s">
        <v>68</v>
      </c>
      <c r="B777" s="11" t="s">
        <v>16</v>
      </c>
    </row>
    <row r="778" spans="1:3" hidden="1">
      <c r="A778" s="10" t="s">
        <v>68</v>
      </c>
      <c r="B778" s="11" t="s">
        <v>17</v>
      </c>
    </row>
    <row r="779" spans="1:3" hidden="1">
      <c r="A779" s="10" t="s">
        <v>68</v>
      </c>
      <c r="B779" s="11" t="s">
        <v>18</v>
      </c>
    </row>
    <row r="780" spans="1:3" hidden="1">
      <c r="A780" s="10" t="s">
        <v>68</v>
      </c>
      <c r="B780" s="11" t="s">
        <v>19</v>
      </c>
    </row>
    <row r="781" spans="1:3" hidden="1">
      <c r="A781" s="10" t="s">
        <v>68</v>
      </c>
      <c r="B781" s="11" t="s">
        <v>20</v>
      </c>
    </row>
    <row r="782" spans="1:3">
      <c r="A782" s="10" t="s">
        <v>68</v>
      </c>
      <c r="B782" s="11" t="s">
        <v>21</v>
      </c>
    </row>
    <row r="783" spans="1:3" hidden="1">
      <c r="A783" s="10" t="s">
        <v>68</v>
      </c>
      <c r="B783" s="11" t="s">
        <v>22</v>
      </c>
    </row>
    <row r="784" spans="1:3" hidden="1">
      <c r="A784" s="10" t="s">
        <v>68</v>
      </c>
      <c r="B784" s="11" t="s">
        <v>23</v>
      </c>
    </row>
    <row r="785" spans="1:11" hidden="1">
      <c r="A785" s="10" t="s">
        <v>68</v>
      </c>
      <c r="B785" s="11" t="s">
        <v>24</v>
      </c>
    </row>
    <row r="786" spans="1:11" hidden="1">
      <c r="A786" s="10" t="s">
        <v>68</v>
      </c>
      <c r="B786" s="11" t="s">
        <v>25</v>
      </c>
    </row>
    <row r="787" spans="1:11" hidden="1">
      <c r="A787" s="10" t="s">
        <v>68</v>
      </c>
      <c r="B787" s="11" t="s">
        <v>26</v>
      </c>
    </row>
    <row r="788" spans="1:11" hidden="1">
      <c r="A788" s="10" t="s">
        <v>68</v>
      </c>
      <c r="B788" s="11" t="s">
        <v>27</v>
      </c>
    </row>
    <row r="789" spans="1:11" hidden="1">
      <c r="A789" s="10" t="s">
        <v>68</v>
      </c>
      <c r="B789" s="11" t="s">
        <v>28</v>
      </c>
    </row>
    <row r="790" spans="1:11" hidden="1">
      <c r="A790" s="10" t="s">
        <v>68</v>
      </c>
      <c r="B790" s="11" t="s">
        <v>29</v>
      </c>
    </row>
    <row r="791" spans="1:11" hidden="1">
      <c r="A791" s="10" t="s">
        <v>68</v>
      </c>
      <c r="B791" s="11" t="s">
        <v>30</v>
      </c>
    </row>
    <row r="792" spans="1:11" hidden="1">
      <c r="A792" s="10" t="s">
        <v>68</v>
      </c>
      <c r="B792" s="11" t="s">
        <v>31</v>
      </c>
    </row>
    <row r="793" spans="1:11" hidden="1">
      <c r="A793" s="10" t="s">
        <v>68</v>
      </c>
      <c r="B793" s="11" t="s">
        <v>32</v>
      </c>
    </row>
    <row r="794" spans="1:11" hidden="1">
      <c r="A794" s="10" t="s">
        <v>68</v>
      </c>
      <c r="B794" s="11" t="s">
        <v>33</v>
      </c>
    </row>
    <row r="795" spans="1:11" hidden="1">
      <c r="A795" s="10" t="s">
        <v>69</v>
      </c>
      <c r="B795" s="11" t="s">
        <v>12</v>
      </c>
    </row>
    <row r="796" spans="1:11" hidden="1">
      <c r="A796" s="10" t="s">
        <v>69</v>
      </c>
      <c r="B796" s="11" t="s">
        <v>13</v>
      </c>
    </row>
    <row r="797" spans="1:11" hidden="1">
      <c r="A797" s="10" t="s">
        <v>69</v>
      </c>
      <c r="B797" s="11" t="s">
        <v>14</v>
      </c>
    </row>
    <row r="798" spans="1:11" hidden="1">
      <c r="A798" s="10" t="s">
        <v>69</v>
      </c>
      <c r="B798" s="11" t="s">
        <v>15</v>
      </c>
    </row>
    <row r="799" spans="1:11" hidden="1">
      <c r="A799" s="10" t="s">
        <v>69</v>
      </c>
      <c r="B799" s="11" t="s">
        <v>16</v>
      </c>
    </row>
    <row r="800" spans="1:11" hidden="1">
      <c r="A800" s="10" t="s">
        <v>69</v>
      </c>
      <c r="B800" s="11" t="s">
        <v>17</v>
      </c>
      <c r="E800" s="5">
        <v>306</v>
      </c>
      <c r="K800" s="5">
        <v>186</v>
      </c>
    </row>
    <row r="801" spans="1:11" hidden="1">
      <c r="A801" s="10" t="s">
        <v>69</v>
      </c>
      <c r="B801" s="11" t="s">
        <v>18</v>
      </c>
    </row>
    <row r="802" spans="1:11" hidden="1">
      <c r="A802" s="10" t="s">
        <v>69</v>
      </c>
      <c r="B802" s="11" t="s">
        <v>19</v>
      </c>
      <c r="K802" s="5">
        <v>31</v>
      </c>
    </row>
    <row r="803" spans="1:11" hidden="1">
      <c r="A803" s="10" t="s">
        <v>69</v>
      </c>
      <c r="B803" s="11" t="s">
        <v>20</v>
      </c>
      <c r="E803" s="5">
        <v>54</v>
      </c>
      <c r="K803" s="5">
        <v>59</v>
      </c>
    </row>
    <row r="804" spans="1:11">
      <c r="A804" s="10" t="s">
        <v>69</v>
      </c>
      <c r="B804" s="11" t="s">
        <v>21</v>
      </c>
      <c r="E804" s="5">
        <f>37+2</f>
        <v>39</v>
      </c>
      <c r="K804" s="5">
        <f>111+106</f>
        <v>217</v>
      </c>
    </row>
    <row r="805" spans="1:11" hidden="1">
      <c r="A805" s="10" t="s">
        <v>69</v>
      </c>
      <c r="B805" s="11" t="s">
        <v>22</v>
      </c>
    </row>
    <row r="806" spans="1:11" hidden="1">
      <c r="A806" s="10" t="s">
        <v>69</v>
      </c>
      <c r="B806" s="11" t="s">
        <v>23</v>
      </c>
    </row>
    <row r="807" spans="1:11" hidden="1">
      <c r="A807" s="10" t="s">
        <v>69</v>
      </c>
      <c r="B807" s="11" t="s">
        <v>24</v>
      </c>
      <c r="E807" s="5">
        <v>132</v>
      </c>
      <c r="K807" s="5">
        <v>120</v>
      </c>
    </row>
    <row r="808" spans="1:11" hidden="1">
      <c r="A808" s="10" t="s">
        <v>69</v>
      </c>
      <c r="B808" s="11" t="s">
        <v>25</v>
      </c>
      <c r="E808" s="5">
        <f>275+961+1</f>
        <v>1237</v>
      </c>
      <c r="K808" s="5">
        <f>557+1194+4</f>
        <v>1755</v>
      </c>
    </row>
    <row r="809" spans="1:11" hidden="1">
      <c r="A809" s="10" t="s">
        <v>69</v>
      </c>
      <c r="B809" s="11" t="s">
        <v>26</v>
      </c>
    </row>
    <row r="810" spans="1:11" hidden="1">
      <c r="A810" s="10" t="s">
        <v>69</v>
      </c>
      <c r="B810" s="11" t="s">
        <v>27</v>
      </c>
    </row>
    <row r="811" spans="1:11" hidden="1">
      <c r="A811" s="10" t="s">
        <v>69</v>
      </c>
      <c r="B811" s="11" t="s">
        <v>28</v>
      </c>
    </row>
    <row r="812" spans="1:11" hidden="1">
      <c r="A812" s="10" t="s">
        <v>69</v>
      </c>
      <c r="B812" s="11" t="s">
        <v>29</v>
      </c>
      <c r="E812" s="5">
        <v>22</v>
      </c>
      <c r="K812" s="5">
        <v>51</v>
      </c>
    </row>
    <row r="813" spans="1:11" hidden="1">
      <c r="A813" s="10" t="s">
        <v>69</v>
      </c>
      <c r="B813" s="11" t="s">
        <v>30</v>
      </c>
      <c r="E813" s="5">
        <v>29</v>
      </c>
      <c r="K813" s="5">
        <v>69</v>
      </c>
    </row>
    <row r="814" spans="1:11" hidden="1">
      <c r="A814" s="10" t="s">
        <v>69</v>
      </c>
      <c r="B814" s="11" t="s">
        <v>31</v>
      </c>
    </row>
    <row r="815" spans="1:11" hidden="1">
      <c r="A815" s="10" t="s">
        <v>69</v>
      </c>
      <c r="B815" s="11" t="s">
        <v>32</v>
      </c>
    </row>
    <row r="816" spans="1:11" hidden="1">
      <c r="A816" s="10" t="s">
        <v>69</v>
      </c>
      <c r="B816" s="11" t="s">
        <v>33</v>
      </c>
    </row>
    <row r="817" spans="1:2" hidden="1">
      <c r="A817" s="10" t="s">
        <v>70</v>
      </c>
      <c r="B817" s="11" t="s">
        <v>12</v>
      </c>
    </row>
    <row r="818" spans="1:2" hidden="1">
      <c r="A818" s="10" t="s">
        <v>70</v>
      </c>
      <c r="B818" s="11" t="s">
        <v>13</v>
      </c>
    </row>
    <row r="819" spans="1:2" hidden="1">
      <c r="A819" s="10" t="s">
        <v>70</v>
      </c>
      <c r="B819" s="11" t="s">
        <v>14</v>
      </c>
    </row>
    <row r="820" spans="1:2" hidden="1">
      <c r="A820" s="10" t="s">
        <v>70</v>
      </c>
      <c r="B820" s="11" t="s">
        <v>15</v>
      </c>
    </row>
    <row r="821" spans="1:2" hidden="1">
      <c r="A821" s="10" t="s">
        <v>70</v>
      </c>
      <c r="B821" s="11" t="s">
        <v>16</v>
      </c>
    </row>
    <row r="822" spans="1:2" hidden="1">
      <c r="A822" s="10" t="s">
        <v>70</v>
      </c>
      <c r="B822" s="11" t="s">
        <v>17</v>
      </c>
    </row>
    <row r="823" spans="1:2" hidden="1">
      <c r="A823" s="10" t="s">
        <v>70</v>
      </c>
      <c r="B823" s="11" t="s">
        <v>18</v>
      </c>
    </row>
    <row r="824" spans="1:2" hidden="1">
      <c r="A824" s="10" t="s">
        <v>70</v>
      </c>
      <c r="B824" s="11" t="s">
        <v>19</v>
      </c>
    </row>
    <row r="825" spans="1:2" hidden="1">
      <c r="A825" s="10" t="s">
        <v>70</v>
      </c>
      <c r="B825" s="11" t="s">
        <v>20</v>
      </c>
    </row>
    <row r="826" spans="1:2">
      <c r="A826" s="10" t="s">
        <v>70</v>
      </c>
      <c r="B826" s="11" t="s">
        <v>21</v>
      </c>
    </row>
    <row r="827" spans="1:2" hidden="1">
      <c r="A827" s="10" t="s">
        <v>70</v>
      </c>
      <c r="B827" s="11" t="s">
        <v>22</v>
      </c>
    </row>
    <row r="828" spans="1:2" hidden="1">
      <c r="A828" s="10" t="s">
        <v>70</v>
      </c>
      <c r="B828" s="11" t="s">
        <v>23</v>
      </c>
    </row>
    <row r="829" spans="1:2" hidden="1">
      <c r="A829" s="10" t="s">
        <v>70</v>
      </c>
      <c r="B829" s="11" t="s">
        <v>24</v>
      </c>
    </row>
    <row r="830" spans="1:2" hidden="1">
      <c r="A830" s="10" t="s">
        <v>70</v>
      </c>
      <c r="B830" s="11" t="s">
        <v>25</v>
      </c>
    </row>
    <row r="831" spans="1:2" hidden="1">
      <c r="A831" s="10" t="s">
        <v>70</v>
      </c>
      <c r="B831" s="11" t="s">
        <v>26</v>
      </c>
    </row>
    <row r="832" spans="1:2" hidden="1">
      <c r="A832" s="10" t="s">
        <v>70</v>
      </c>
      <c r="B832" s="11" t="s">
        <v>27</v>
      </c>
    </row>
    <row r="833" spans="1:2" hidden="1">
      <c r="A833" s="10" t="s">
        <v>70</v>
      </c>
      <c r="B833" s="11" t="s">
        <v>28</v>
      </c>
    </row>
    <row r="834" spans="1:2" hidden="1">
      <c r="A834" s="10" t="s">
        <v>70</v>
      </c>
      <c r="B834" s="11" t="s">
        <v>29</v>
      </c>
    </row>
    <row r="835" spans="1:2" hidden="1">
      <c r="A835" s="10" t="s">
        <v>70</v>
      </c>
      <c r="B835" s="11" t="s">
        <v>30</v>
      </c>
    </row>
    <row r="836" spans="1:2" hidden="1">
      <c r="A836" s="10" t="s">
        <v>70</v>
      </c>
      <c r="B836" s="11" t="s">
        <v>31</v>
      </c>
    </row>
    <row r="837" spans="1:2" hidden="1">
      <c r="A837" s="10" t="s">
        <v>70</v>
      </c>
      <c r="B837" s="11" t="s">
        <v>32</v>
      </c>
    </row>
    <row r="838" spans="1:2" hidden="1">
      <c r="A838" s="10" t="s">
        <v>70</v>
      </c>
      <c r="B838" s="11" t="s">
        <v>33</v>
      </c>
    </row>
    <row r="839" spans="1:2" hidden="1">
      <c r="A839" s="10" t="s">
        <v>71</v>
      </c>
      <c r="B839" s="11" t="s">
        <v>12</v>
      </c>
    </row>
    <row r="840" spans="1:2" hidden="1">
      <c r="A840" s="10" t="s">
        <v>71</v>
      </c>
      <c r="B840" s="11" t="s">
        <v>13</v>
      </c>
    </row>
    <row r="841" spans="1:2" hidden="1">
      <c r="A841" s="10" t="s">
        <v>71</v>
      </c>
      <c r="B841" s="11" t="s">
        <v>14</v>
      </c>
    </row>
    <row r="842" spans="1:2" hidden="1">
      <c r="A842" s="10" t="s">
        <v>71</v>
      </c>
      <c r="B842" s="11" t="s">
        <v>15</v>
      </c>
    </row>
    <row r="843" spans="1:2" hidden="1">
      <c r="A843" s="10" t="s">
        <v>71</v>
      </c>
      <c r="B843" s="11" t="s">
        <v>16</v>
      </c>
    </row>
    <row r="844" spans="1:2" hidden="1">
      <c r="A844" s="10" t="s">
        <v>71</v>
      </c>
      <c r="B844" s="11" t="s">
        <v>17</v>
      </c>
    </row>
    <row r="845" spans="1:2" hidden="1">
      <c r="A845" s="10" t="s">
        <v>71</v>
      </c>
      <c r="B845" s="11" t="s">
        <v>18</v>
      </c>
    </row>
    <row r="846" spans="1:2" hidden="1">
      <c r="A846" s="10" t="s">
        <v>71</v>
      </c>
      <c r="B846" s="11" t="s">
        <v>19</v>
      </c>
    </row>
    <row r="847" spans="1:2" hidden="1">
      <c r="A847" s="10" t="s">
        <v>71</v>
      </c>
      <c r="B847" s="11" t="s">
        <v>20</v>
      </c>
    </row>
    <row r="848" spans="1:2">
      <c r="A848" s="10" t="s">
        <v>71</v>
      </c>
      <c r="B848" s="11" t="s">
        <v>21</v>
      </c>
    </row>
    <row r="849" spans="1:2" hidden="1">
      <c r="A849" s="10" t="s">
        <v>71</v>
      </c>
      <c r="B849" s="11" t="s">
        <v>22</v>
      </c>
    </row>
    <row r="850" spans="1:2" hidden="1">
      <c r="A850" s="10" t="s">
        <v>71</v>
      </c>
      <c r="B850" s="11" t="s">
        <v>23</v>
      </c>
    </row>
    <row r="851" spans="1:2" hidden="1">
      <c r="A851" s="10" t="s">
        <v>71</v>
      </c>
      <c r="B851" s="11" t="s">
        <v>24</v>
      </c>
    </row>
    <row r="852" spans="1:2" hidden="1">
      <c r="A852" s="10" t="s">
        <v>71</v>
      </c>
      <c r="B852" s="11" t="s">
        <v>25</v>
      </c>
    </row>
    <row r="853" spans="1:2" hidden="1">
      <c r="A853" s="10" t="s">
        <v>71</v>
      </c>
      <c r="B853" s="11" t="s">
        <v>26</v>
      </c>
    </row>
    <row r="854" spans="1:2" hidden="1">
      <c r="A854" s="10" t="s">
        <v>71</v>
      </c>
      <c r="B854" s="11" t="s">
        <v>27</v>
      </c>
    </row>
    <row r="855" spans="1:2" hidden="1">
      <c r="A855" s="10" t="s">
        <v>71</v>
      </c>
      <c r="B855" s="11" t="s">
        <v>28</v>
      </c>
    </row>
    <row r="856" spans="1:2" hidden="1">
      <c r="A856" s="10" t="s">
        <v>71</v>
      </c>
      <c r="B856" s="11" t="s">
        <v>29</v>
      </c>
    </row>
    <row r="857" spans="1:2" hidden="1">
      <c r="A857" s="10" t="s">
        <v>71</v>
      </c>
      <c r="B857" s="11" t="s">
        <v>30</v>
      </c>
    </row>
    <row r="858" spans="1:2" hidden="1">
      <c r="A858" s="10" t="s">
        <v>71</v>
      </c>
      <c r="B858" s="11" t="s">
        <v>31</v>
      </c>
    </row>
    <row r="859" spans="1:2" hidden="1">
      <c r="A859" s="10" t="s">
        <v>71</v>
      </c>
      <c r="B859" s="11" t="s">
        <v>32</v>
      </c>
    </row>
    <row r="860" spans="1:2" hidden="1">
      <c r="A860" s="10" t="s">
        <v>71</v>
      </c>
      <c r="B860" s="11" t="s">
        <v>33</v>
      </c>
    </row>
    <row r="861" spans="1:2" hidden="1">
      <c r="A861" s="10" t="s">
        <v>72</v>
      </c>
      <c r="B861" s="11" t="s">
        <v>12</v>
      </c>
    </row>
    <row r="862" spans="1:2" hidden="1">
      <c r="A862" s="10" t="s">
        <v>72</v>
      </c>
      <c r="B862" s="11" t="s">
        <v>13</v>
      </c>
    </row>
    <row r="863" spans="1:2" hidden="1">
      <c r="A863" s="10" t="s">
        <v>72</v>
      </c>
      <c r="B863" s="11" t="s">
        <v>14</v>
      </c>
    </row>
    <row r="864" spans="1:2" hidden="1">
      <c r="A864" s="10" t="s">
        <v>72</v>
      </c>
      <c r="B864" s="11" t="s">
        <v>15</v>
      </c>
    </row>
    <row r="865" spans="1:2" hidden="1">
      <c r="A865" s="10" t="s">
        <v>72</v>
      </c>
      <c r="B865" s="11" t="s">
        <v>16</v>
      </c>
    </row>
    <row r="866" spans="1:2" hidden="1">
      <c r="A866" s="10" t="s">
        <v>72</v>
      </c>
      <c r="B866" s="11" t="s">
        <v>17</v>
      </c>
    </row>
    <row r="867" spans="1:2" hidden="1">
      <c r="A867" s="10" t="s">
        <v>72</v>
      </c>
      <c r="B867" s="11" t="s">
        <v>18</v>
      </c>
    </row>
    <row r="868" spans="1:2" hidden="1">
      <c r="A868" s="10" t="s">
        <v>72</v>
      </c>
      <c r="B868" s="11" t="s">
        <v>19</v>
      </c>
    </row>
    <row r="869" spans="1:2" hidden="1">
      <c r="A869" s="10" t="s">
        <v>72</v>
      </c>
      <c r="B869" s="11" t="s">
        <v>20</v>
      </c>
    </row>
    <row r="870" spans="1:2">
      <c r="A870" s="10" t="s">
        <v>72</v>
      </c>
      <c r="B870" s="11" t="s">
        <v>21</v>
      </c>
    </row>
    <row r="871" spans="1:2" hidden="1">
      <c r="A871" s="10" t="s">
        <v>72</v>
      </c>
      <c r="B871" s="11" t="s">
        <v>22</v>
      </c>
    </row>
    <row r="872" spans="1:2" hidden="1">
      <c r="A872" s="10" t="s">
        <v>72</v>
      </c>
      <c r="B872" s="11" t="s">
        <v>23</v>
      </c>
    </row>
    <row r="873" spans="1:2" hidden="1">
      <c r="A873" s="10" t="s">
        <v>72</v>
      </c>
      <c r="B873" s="11" t="s">
        <v>24</v>
      </c>
    </row>
    <row r="874" spans="1:2" hidden="1">
      <c r="A874" s="10" t="s">
        <v>72</v>
      </c>
      <c r="B874" s="11" t="s">
        <v>25</v>
      </c>
    </row>
    <row r="875" spans="1:2" hidden="1">
      <c r="A875" s="10" t="s">
        <v>72</v>
      </c>
      <c r="B875" s="11" t="s">
        <v>26</v>
      </c>
    </row>
    <row r="876" spans="1:2" hidden="1">
      <c r="A876" s="10" t="s">
        <v>72</v>
      </c>
      <c r="B876" s="11" t="s">
        <v>27</v>
      </c>
    </row>
    <row r="877" spans="1:2" hidden="1">
      <c r="A877" s="10" t="s">
        <v>72</v>
      </c>
      <c r="B877" s="11" t="s">
        <v>28</v>
      </c>
    </row>
    <row r="878" spans="1:2" hidden="1">
      <c r="A878" s="10" t="s">
        <v>72</v>
      </c>
      <c r="B878" s="11" t="s">
        <v>29</v>
      </c>
    </row>
    <row r="879" spans="1:2" hidden="1">
      <c r="A879" s="10" t="s">
        <v>72</v>
      </c>
      <c r="B879" s="11" t="s">
        <v>30</v>
      </c>
    </row>
    <row r="880" spans="1:2" hidden="1">
      <c r="A880" s="10" t="s">
        <v>72</v>
      </c>
      <c r="B880" s="11" t="s">
        <v>31</v>
      </c>
    </row>
    <row r="881" spans="1:10" hidden="1">
      <c r="A881" s="10" t="s">
        <v>72</v>
      </c>
      <c r="B881" s="11" t="s">
        <v>32</v>
      </c>
    </row>
    <row r="882" spans="1:10" hidden="1">
      <c r="A882" s="10" t="s">
        <v>72</v>
      </c>
      <c r="B882" s="11" t="s">
        <v>33</v>
      </c>
    </row>
    <row r="883" spans="1:10" hidden="1">
      <c r="A883" s="10" t="s">
        <v>73</v>
      </c>
      <c r="B883" s="11" t="s">
        <v>12</v>
      </c>
    </row>
    <row r="884" spans="1:10" hidden="1">
      <c r="A884" s="10" t="s">
        <v>73</v>
      </c>
      <c r="B884" s="11" t="s">
        <v>13</v>
      </c>
    </row>
    <row r="885" spans="1:10" hidden="1">
      <c r="A885" s="10" t="s">
        <v>73</v>
      </c>
      <c r="B885" s="11" t="s">
        <v>14</v>
      </c>
    </row>
    <row r="886" spans="1:10" hidden="1">
      <c r="A886" s="10" t="s">
        <v>73</v>
      </c>
      <c r="B886" s="11" t="s">
        <v>15</v>
      </c>
    </row>
    <row r="887" spans="1:10" hidden="1">
      <c r="A887" s="10" t="s">
        <v>73</v>
      </c>
      <c r="B887" s="11" t="s">
        <v>16</v>
      </c>
    </row>
    <row r="888" spans="1:10" hidden="1">
      <c r="A888" s="10" t="s">
        <v>73</v>
      </c>
      <c r="B888" s="11" t="s">
        <v>17</v>
      </c>
    </row>
    <row r="889" spans="1:10" hidden="1">
      <c r="A889" s="10" t="s">
        <v>73</v>
      </c>
      <c r="B889" s="11" t="s">
        <v>18</v>
      </c>
      <c r="J889" s="5">
        <v>20</v>
      </c>
    </row>
    <row r="890" spans="1:10" hidden="1">
      <c r="A890" s="10" t="s">
        <v>73</v>
      </c>
      <c r="B890" s="11" t="s">
        <v>19</v>
      </c>
    </row>
    <row r="891" spans="1:10" hidden="1">
      <c r="A891" s="10" t="s">
        <v>73</v>
      </c>
      <c r="B891" s="11" t="s">
        <v>20</v>
      </c>
    </row>
    <row r="892" spans="1:10">
      <c r="A892" s="10" t="s">
        <v>73</v>
      </c>
      <c r="B892" s="11" t="s">
        <v>21</v>
      </c>
    </row>
    <row r="893" spans="1:10" hidden="1">
      <c r="A893" s="10" t="s">
        <v>73</v>
      </c>
      <c r="B893" s="11" t="s">
        <v>22</v>
      </c>
    </row>
    <row r="894" spans="1:10" hidden="1">
      <c r="A894" s="10" t="s">
        <v>73</v>
      </c>
      <c r="B894" s="11" t="s">
        <v>23</v>
      </c>
    </row>
    <row r="895" spans="1:10" hidden="1">
      <c r="A895" s="10" t="s">
        <v>73</v>
      </c>
      <c r="B895" s="11" t="s">
        <v>24</v>
      </c>
      <c r="J895" s="5">
        <v>10</v>
      </c>
    </row>
    <row r="896" spans="1:10" hidden="1">
      <c r="A896" s="10" t="s">
        <v>73</v>
      </c>
      <c r="B896" s="11" t="s">
        <v>25</v>
      </c>
      <c r="J896" s="5">
        <v>40</v>
      </c>
    </row>
    <row r="897" spans="1:10" hidden="1">
      <c r="A897" s="10" t="s">
        <v>73</v>
      </c>
      <c r="B897" s="11" t="s">
        <v>26</v>
      </c>
    </row>
    <row r="898" spans="1:10" hidden="1">
      <c r="A898" s="10" t="s">
        <v>73</v>
      </c>
      <c r="B898" s="11" t="s">
        <v>27</v>
      </c>
    </row>
    <row r="899" spans="1:10" hidden="1">
      <c r="A899" s="10" t="s">
        <v>73</v>
      </c>
      <c r="B899" s="11" t="s">
        <v>28</v>
      </c>
    </row>
    <row r="900" spans="1:10" hidden="1">
      <c r="A900" s="10" t="s">
        <v>73</v>
      </c>
      <c r="B900" s="11" t="s">
        <v>29</v>
      </c>
      <c r="J900" s="5">
        <v>20</v>
      </c>
    </row>
    <row r="901" spans="1:10" hidden="1">
      <c r="A901" s="10" t="s">
        <v>73</v>
      </c>
      <c r="B901" s="11" t="s">
        <v>30</v>
      </c>
    </row>
    <row r="902" spans="1:10" hidden="1">
      <c r="A902" s="10" t="s">
        <v>73</v>
      </c>
      <c r="B902" s="11" t="s">
        <v>31</v>
      </c>
      <c r="J902" s="5">
        <v>20</v>
      </c>
    </row>
    <row r="903" spans="1:10" hidden="1">
      <c r="A903" s="10" t="s">
        <v>73</v>
      </c>
      <c r="B903" s="11" t="s">
        <v>32</v>
      </c>
    </row>
    <row r="904" spans="1:10" hidden="1">
      <c r="A904" s="10" t="s">
        <v>73</v>
      </c>
      <c r="B904" s="11" t="s">
        <v>33</v>
      </c>
      <c r="J904" s="5">
        <v>40</v>
      </c>
    </row>
    <row r="905" spans="1:10" hidden="1">
      <c r="A905" s="10" t="s">
        <v>74</v>
      </c>
      <c r="B905" s="11" t="s">
        <v>12</v>
      </c>
    </row>
    <row r="906" spans="1:10" hidden="1">
      <c r="A906" s="10" t="s">
        <v>74</v>
      </c>
      <c r="B906" s="11" t="s">
        <v>13</v>
      </c>
    </row>
    <row r="907" spans="1:10" hidden="1">
      <c r="A907" s="10" t="s">
        <v>74</v>
      </c>
      <c r="B907" s="11" t="s">
        <v>14</v>
      </c>
    </row>
    <row r="908" spans="1:10" hidden="1">
      <c r="A908" s="10" t="s">
        <v>74</v>
      </c>
      <c r="B908" s="11" t="s">
        <v>15</v>
      </c>
    </row>
    <row r="909" spans="1:10" hidden="1">
      <c r="A909" s="10" t="s">
        <v>74</v>
      </c>
      <c r="B909" s="11" t="s">
        <v>16</v>
      </c>
    </row>
    <row r="910" spans="1:10" hidden="1">
      <c r="A910" s="10" t="s">
        <v>74</v>
      </c>
      <c r="B910" s="11" t="s">
        <v>17</v>
      </c>
    </row>
    <row r="911" spans="1:10" hidden="1">
      <c r="A911" s="10" t="s">
        <v>74</v>
      </c>
      <c r="B911" s="11" t="s">
        <v>18</v>
      </c>
    </row>
    <row r="912" spans="1:10" hidden="1">
      <c r="A912" s="10" t="s">
        <v>74</v>
      </c>
      <c r="B912" s="11" t="s">
        <v>19</v>
      </c>
      <c r="C912" s="5">
        <v>0</v>
      </c>
      <c r="D912" s="5">
        <v>17</v>
      </c>
    </row>
    <row r="913" spans="1:10" hidden="1">
      <c r="A913" s="10" t="s">
        <v>74</v>
      </c>
      <c r="B913" s="11" t="s">
        <v>20</v>
      </c>
      <c r="C913" s="5">
        <v>8</v>
      </c>
      <c r="D913" s="5">
        <v>10</v>
      </c>
    </row>
    <row r="914" spans="1:10">
      <c r="A914" s="10" t="s">
        <v>74</v>
      </c>
      <c r="B914" s="11" t="s">
        <v>21</v>
      </c>
      <c r="C914" s="5">
        <v>45</v>
      </c>
      <c r="D914" s="5">
        <v>60</v>
      </c>
      <c r="I914" s="5">
        <v>330</v>
      </c>
      <c r="J914" s="5">
        <v>330</v>
      </c>
    </row>
    <row r="915" spans="1:10" hidden="1">
      <c r="A915" s="10" t="s">
        <v>74</v>
      </c>
      <c r="B915" s="11" t="s">
        <v>22</v>
      </c>
    </row>
    <row r="916" spans="1:10" hidden="1">
      <c r="A916" s="10" t="s">
        <v>74</v>
      </c>
      <c r="B916" s="11" t="s">
        <v>23</v>
      </c>
    </row>
    <row r="917" spans="1:10" hidden="1">
      <c r="A917" s="10" t="s">
        <v>74</v>
      </c>
      <c r="B917" s="11" t="s">
        <v>24</v>
      </c>
      <c r="C917" s="5">
        <v>192</v>
      </c>
      <c r="D917" s="5">
        <v>169</v>
      </c>
      <c r="I917" s="5">
        <v>2042</v>
      </c>
      <c r="J917" s="5">
        <v>2084</v>
      </c>
    </row>
    <row r="918" spans="1:10" hidden="1">
      <c r="A918" s="10" t="s">
        <v>74</v>
      </c>
      <c r="B918" s="11" t="s">
        <v>25</v>
      </c>
      <c r="C918" s="5">
        <v>737</v>
      </c>
      <c r="D918" s="5">
        <v>502</v>
      </c>
      <c r="I918" s="5">
        <v>2903</v>
      </c>
      <c r="J918" s="5">
        <v>2920</v>
      </c>
    </row>
    <row r="919" spans="1:10" hidden="1">
      <c r="A919" s="10" t="s">
        <v>74</v>
      </c>
      <c r="B919" s="11" t="s">
        <v>26</v>
      </c>
    </row>
    <row r="920" spans="1:10" hidden="1">
      <c r="A920" s="10" t="s">
        <v>74</v>
      </c>
      <c r="B920" s="11" t="s">
        <v>27</v>
      </c>
    </row>
    <row r="921" spans="1:10" hidden="1">
      <c r="A921" s="10" t="s">
        <v>74</v>
      </c>
      <c r="B921" s="11" t="s">
        <v>28</v>
      </c>
    </row>
    <row r="922" spans="1:10" hidden="1">
      <c r="A922" s="10" t="s">
        <v>74</v>
      </c>
      <c r="B922" s="11" t="s">
        <v>29</v>
      </c>
    </row>
    <row r="923" spans="1:10" hidden="1">
      <c r="A923" s="10" t="s">
        <v>74</v>
      </c>
      <c r="B923" s="11" t="s">
        <v>30</v>
      </c>
    </row>
    <row r="924" spans="1:10" hidden="1">
      <c r="A924" s="10" t="s">
        <v>74</v>
      </c>
      <c r="B924" s="11" t="s">
        <v>31</v>
      </c>
    </row>
    <row r="925" spans="1:10" hidden="1">
      <c r="A925" s="10" t="s">
        <v>74</v>
      </c>
      <c r="B925" s="11" t="s">
        <v>32</v>
      </c>
    </row>
    <row r="926" spans="1:10" hidden="1">
      <c r="A926" s="10" t="s">
        <v>74</v>
      </c>
      <c r="B926" s="11" t="s">
        <v>33</v>
      </c>
      <c r="C926" s="5">
        <v>31</v>
      </c>
      <c r="D926" s="5">
        <v>40</v>
      </c>
    </row>
    <row r="927" spans="1:10" hidden="1">
      <c r="A927" s="10" t="s">
        <v>75</v>
      </c>
      <c r="B927" s="11" t="s">
        <v>12</v>
      </c>
    </row>
    <row r="928" spans="1:10" hidden="1">
      <c r="A928" s="10" t="s">
        <v>75</v>
      </c>
      <c r="B928" s="11" t="s">
        <v>13</v>
      </c>
    </row>
    <row r="929" spans="1:10" hidden="1">
      <c r="A929" s="10" t="s">
        <v>75</v>
      </c>
      <c r="B929" s="11" t="s">
        <v>14</v>
      </c>
    </row>
    <row r="930" spans="1:10" hidden="1">
      <c r="A930" s="10" t="s">
        <v>75</v>
      </c>
      <c r="B930" s="11" t="s">
        <v>15</v>
      </c>
    </row>
    <row r="931" spans="1:10" hidden="1">
      <c r="A931" s="10" t="s">
        <v>75</v>
      </c>
      <c r="B931" s="11" t="s">
        <v>16</v>
      </c>
    </row>
    <row r="932" spans="1:10" hidden="1">
      <c r="A932" s="10" t="s">
        <v>75</v>
      </c>
      <c r="B932" s="11" t="s">
        <v>17</v>
      </c>
    </row>
    <row r="933" spans="1:10" hidden="1">
      <c r="A933" s="10" t="s">
        <v>75</v>
      </c>
      <c r="B933" s="11" t="s">
        <v>18</v>
      </c>
    </row>
    <row r="934" spans="1:10" hidden="1">
      <c r="A934" s="10" t="s">
        <v>75</v>
      </c>
      <c r="B934" s="11" t="s">
        <v>19</v>
      </c>
    </row>
    <row r="935" spans="1:10" hidden="1">
      <c r="A935" s="10" t="s">
        <v>75</v>
      </c>
      <c r="B935" s="11" t="s">
        <v>20</v>
      </c>
    </row>
    <row r="936" spans="1:10">
      <c r="A936" s="10" t="s">
        <v>75</v>
      </c>
      <c r="B936" s="11" t="s">
        <v>21</v>
      </c>
      <c r="D936" s="5">
        <f>65+8+3+1</f>
        <v>77</v>
      </c>
      <c r="G936" s="5">
        <v>420</v>
      </c>
    </row>
    <row r="937" spans="1:10" hidden="1">
      <c r="A937" s="10" t="s">
        <v>75</v>
      </c>
      <c r="B937" s="11" t="s">
        <v>22</v>
      </c>
      <c r="G937" s="5">
        <v>20</v>
      </c>
      <c r="J937" s="5">
        <v>10</v>
      </c>
    </row>
    <row r="938" spans="1:10" hidden="1">
      <c r="A938" s="10" t="s">
        <v>75</v>
      </c>
      <c r="B938" s="11" t="s">
        <v>23</v>
      </c>
    </row>
    <row r="939" spans="1:10" hidden="1">
      <c r="A939" s="10" t="s">
        <v>75</v>
      </c>
      <c r="B939" s="11" t="s">
        <v>24</v>
      </c>
      <c r="D939" s="5">
        <v>90</v>
      </c>
      <c r="G939" s="5">
        <v>2400</v>
      </c>
      <c r="J939" s="5">
        <v>130</v>
      </c>
    </row>
    <row r="940" spans="1:10" hidden="1">
      <c r="A940" s="10" t="s">
        <v>75</v>
      </c>
      <c r="B940" s="11" t="s">
        <v>25</v>
      </c>
      <c r="D940" s="5">
        <v>160</v>
      </c>
      <c r="G940" s="5">
        <v>4179</v>
      </c>
      <c r="J940" s="5">
        <v>240</v>
      </c>
    </row>
    <row r="941" spans="1:10" hidden="1">
      <c r="A941" s="10" t="s">
        <v>75</v>
      </c>
      <c r="B941" s="11" t="s">
        <v>26</v>
      </c>
    </row>
    <row r="942" spans="1:10" hidden="1">
      <c r="A942" s="10" t="s">
        <v>75</v>
      </c>
      <c r="B942" s="11" t="s">
        <v>27</v>
      </c>
    </row>
    <row r="943" spans="1:10" hidden="1">
      <c r="A943" s="10" t="s">
        <v>75</v>
      </c>
      <c r="B943" s="11" t="s">
        <v>28</v>
      </c>
    </row>
    <row r="944" spans="1:10" hidden="1">
      <c r="A944" s="10" t="s">
        <v>75</v>
      </c>
      <c r="B944" s="11" t="s">
        <v>29</v>
      </c>
    </row>
    <row r="945" spans="1:10" hidden="1">
      <c r="A945" s="10" t="s">
        <v>75</v>
      </c>
      <c r="B945" s="11" t="s">
        <v>30</v>
      </c>
      <c r="D945" s="5">
        <v>0</v>
      </c>
      <c r="J945" s="5">
        <v>60</v>
      </c>
    </row>
    <row r="946" spans="1:10" hidden="1">
      <c r="A946" s="10" t="s">
        <v>75</v>
      </c>
      <c r="B946" s="11" t="s">
        <v>31</v>
      </c>
    </row>
    <row r="947" spans="1:10" hidden="1">
      <c r="A947" s="10" t="s">
        <v>75</v>
      </c>
      <c r="B947" s="11" t="s">
        <v>32</v>
      </c>
    </row>
    <row r="948" spans="1:10" hidden="1">
      <c r="A948" s="10" t="s">
        <v>75</v>
      </c>
      <c r="B948" s="11" t="s">
        <v>33</v>
      </c>
    </row>
    <row r="949" spans="1:10" hidden="1">
      <c r="A949" s="10" t="s">
        <v>76</v>
      </c>
      <c r="B949" s="11" t="s">
        <v>12</v>
      </c>
    </row>
    <row r="950" spans="1:10" hidden="1">
      <c r="A950" s="10" t="s">
        <v>76</v>
      </c>
      <c r="B950" s="11" t="s">
        <v>13</v>
      </c>
    </row>
    <row r="951" spans="1:10" hidden="1">
      <c r="A951" s="10" t="s">
        <v>76</v>
      </c>
      <c r="B951" s="11" t="s">
        <v>14</v>
      </c>
    </row>
    <row r="952" spans="1:10" hidden="1">
      <c r="A952" s="10" t="s">
        <v>76</v>
      </c>
      <c r="B952" s="11" t="s">
        <v>15</v>
      </c>
    </row>
    <row r="953" spans="1:10" hidden="1">
      <c r="A953" s="10" t="s">
        <v>76</v>
      </c>
      <c r="B953" s="11" t="s">
        <v>16</v>
      </c>
    </row>
    <row r="954" spans="1:10" hidden="1">
      <c r="A954" s="10" t="s">
        <v>76</v>
      </c>
      <c r="B954" s="11" t="s">
        <v>17</v>
      </c>
    </row>
    <row r="955" spans="1:10" hidden="1">
      <c r="A955" s="10" t="s">
        <v>76</v>
      </c>
      <c r="B955" s="11" t="s">
        <v>18</v>
      </c>
    </row>
    <row r="956" spans="1:10" hidden="1">
      <c r="A956" s="10" t="s">
        <v>76</v>
      </c>
      <c r="B956" s="11" t="s">
        <v>19</v>
      </c>
    </row>
    <row r="957" spans="1:10" hidden="1">
      <c r="A957" s="10" t="s">
        <v>76</v>
      </c>
      <c r="B957" s="11" t="s">
        <v>20</v>
      </c>
    </row>
    <row r="958" spans="1:10">
      <c r="A958" s="10" t="s">
        <v>76</v>
      </c>
      <c r="B958" s="11" t="s">
        <v>21</v>
      </c>
    </row>
    <row r="959" spans="1:10" hidden="1">
      <c r="A959" s="10" t="s">
        <v>76</v>
      </c>
      <c r="B959" s="11" t="s">
        <v>22</v>
      </c>
    </row>
    <row r="960" spans="1:10" hidden="1">
      <c r="A960" s="10" t="s">
        <v>76</v>
      </c>
      <c r="B960" s="11" t="s">
        <v>23</v>
      </c>
    </row>
    <row r="961" spans="1:11" hidden="1">
      <c r="A961" s="10" t="s">
        <v>76</v>
      </c>
      <c r="B961" s="11" t="s">
        <v>24</v>
      </c>
    </row>
    <row r="962" spans="1:11" hidden="1">
      <c r="A962" s="10" t="s">
        <v>76</v>
      </c>
      <c r="B962" s="11" t="s">
        <v>25</v>
      </c>
    </row>
    <row r="963" spans="1:11" hidden="1">
      <c r="A963" s="10" t="s">
        <v>76</v>
      </c>
      <c r="B963" s="11" t="s">
        <v>26</v>
      </c>
    </row>
    <row r="964" spans="1:11" hidden="1">
      <c r="A964" s="10" t="s">
        <v>76</v>
      </c>
      <c r="B964" s="11" t="s">
        <v>27</v>
      </c>
    </row>
    <row r="965" spans="1:11" hidden="1">
      <c r="A965" s="10" t="s">
        <v>76</v>
      </c>
      <c r="B965" s="11" t="s">
        <v>28</v>
      </c>
    </row>
    <row r="966" spans="1:11" hidden="1">
      <c r="A966" s="10" t="s">
        <v>76</v>
      </c>
      <c r="B966" s="11" t="s">
        <v>29</v>
      </c>
    </row>
    <row r="967" spans="1:11" hidden="1">
      <c r="A967" s="10" t="s">
        <v>76</v>
      </c>
      <c r="B967" s="11" t="s">
        <v>30</v>
      </c>
    </row>
    <row r="968" spans="1:11" hidden="1">
      <c r="A968" s="10" t="s">
        <v>76</v>
      </c>
      <c r="B968" s="11" t="s">
        <v>31</v>
      </c>
    </row>
    <row r="969" spans="1:11" hidden="1">
      <c r="A969" s="10" t="s">
        <v>76</v>
      </c>
      <c r="B969" s="11" t="s">
        <v>32</v>
      </c>
    </row>
    <row r="970" spans="1:11" hidden="1">
      <c r="A970" s="10" t="s">
        <v>76</v>
      </c>
      <c r="B970" s="11" t="s">
        <v>33</v>
      </c>
    </row>
    <row r="971" spans="1:11" hidden="1">
      <c r="A971" s="10" t="s">
        <v>77</v>
      </c>
      <c r="B971" s="11" t="s">
        <v>12</v>
      </c>
      <c r="D971" s="5">
        <v>2</v>
      </c>
      <c r="E971" s="5">
        <v>2</v>
      </c>
      <c r="K971" s="5">
        <v>40</v>
      </c>
    </row>
    <row r="972" spans="1:11" hidden="1">
      <c r="A972" s="10" t="s">
        <v>77</v>
      </c>
      <c r="B972" s="11" t="s">
        <v>13</v>
      </c>
    </row>
    <row r="973" spans="1:11" hidden="1">
      <c r="A973" s="10" t="s">
        <v>77</v>
      </c>
      <c r="B973" s="11" t="s">
        <v>14</v>
      </c>
      <c r="D973" s="18">
        <f>71+3</f>
        <v>74</v>
      </c>
      <c r="E973" s="18">
        <f>138+13</f>
        <v>151</v>
      </c>
      <c r="H973" s="18">
        <f>1798+1780</f>
        <v>3578</v>
      </c>
      <c r="K973" s="18">
        <v>220</v>
      </c>
    </row>
    <row r="974" spans="1:11" hidden="1">
      <c r="A974" s="10" t="s">
        <v>77</v>
      </c>
      <c r="B974" s="11" t="s">
        <v>15</v>
      </c>
      <c r="D974" s="18"/>
      <c r="E974" s="18"/>
      <c r="H974" s="18"/>
      <c r="K974" s="18"/>
    </row>
    <row r="975" spans="1:11" hidden="1">
      <c r="A975" s="10" t="s">
        <v>77</v>
      </c>
      <c r="B975" s="11" t="s">
        <v>16</v>
      </c>
    </row>
    <row r="976" spans="1:11" hidden="1">
      <c r="A976" s="10" t="s">
        <v>77</v>
      </c>
      <c r="B976" s="11" t="s">
        <v>17</v>
      </c>
      <c r="C976" s="18"/>
      <c r="D976" s="18">
        <f>235+130</f>
        <v>365</v>
      </c>
      <c r="E976" s="18">
        <f>337+161</f>
        <v>498</v>
      </c>
      <c r="H976" s="5">
        <v>256</v>
      </c>
      <c r="K976" s="5">
        <f>290+270</f>
        <v>560</v>
      </c>
    </row>
    <row r="977" spans="1:11" hidden="1">
      <c r="A977" s="10" t="s">
        <v>77</v>
      </c>
      <c r="B977" s="11" t="s">
        <v>18</v>
      </c>
      <c r="C977" s="18"/>
      <c r="D977" s="18"/>
      <c r="E977" s="18"/>
    </row>
    <row r="978" spans="1:11" hidden="1">
      <c r="A978" s="10" t="s">
        <v>77</v>
      </c>
      <c r="B978" s="11" t="s">
        <v>19</v>
      </c>
      <c r="C978" s="18"/>
      <c r="D978" s="18">
        <f>1450+344</f>
        <v>1794</v>
      </c>
      <c r="E978" s="18">
        <f>2229+579</f>
        <v>2808</v>
      </c>
      <c r="H978" s="18">
        <v>4080</v>
      </c>
      <c r="K978" s="5">
        <f>75+65</f>
        <v>140</v>
      </c>
    </row>
    <row r="979" spans="1:11" hidden="1">
      <c r="A979" s="10" t="s">
        <v>77</v>
      </c>
      <c r="B979" s="11" t="s">
        <v>20</v>
      </c>
      <c r="C979" s="18"/>
      <c r="D979" s="18"/>
      <c r="E979" s="18"/>
      <c r="H979" s="18"/>
      <c r="K979" s="5">
        <f>2290+1130</f>
        <v>3420</v>
      </c>
    </row>
    <row r="980" spans="1:11">
      <c r="A980" s="10" t="s">
        <v>77</v>
      </c>
      <c r="B980" s="11" t="s">
        <v>21</v>
      </c>
      <c r="H980" s="5">
        <v>8676</v>
      </c>
      <c r="K980" s="5">
        <f>1990+7</f>
        <v>1997</v>
      </c>
    </row>
    <row r="981" spans="1:11" hidden="1">
      <c r="A981" s="10" t="s">
        <v>77</v>
      </c>
      <c r="B981" s="11" t="s">
        <v>22</v>
      </c>
      <c r="D981" s="5">
        <v>20</v>
      </c>
      <c r="E981" s="5">
        <v>46</v>
      </c>
      <c r="H981" s="5">
        <v>865</v>
      </c>
      <c r="K981" s="5">
        <v>50</v>
      </c>
    </row>
    <row r="982" spans="1:11" hidden="1">
      <c r="A982" s="10" t="s">
        <v>77</v>
      </c>
      <c r="B982" s="11" t="s">
        <v>23</v>
      </c>
    </row>
    <row r="983" spans="1:11" hidden="1">
      <c r="A983" s="10" t="s">
        <v>77</v>
      </c>
      <c r="B983" s="11" t="s">
        <v>24</v>
      </c>
      <c r="C983" s="5">
        <v>814</v>
      </c>
      <c r="D983" s="5">
        <v>4093</v>
      </c>
      <c r="E983" s="5">
        <v>4641</v>
      </c>
      <c r="H983" s="5">
        <v>1745</v>
      </c>
      <c r="K983" s="5">
        <v>8990</v>
      </c>
    </row>
    <row r="984" spans="1:11" hidden="1">
      <c r="A984" s="10" t="s">
        <v>77</v>
      </c>
      <c r="B984" s="11" t="s">
        <v>25</v>
      </c>
      <c r="C984" s="5">
        <v>3631</v>
      </c>
      <c r="D984" s="5">
        <v>6246</v>
      </c>
      <c r="E984" s="5">
        <v>9677</v>
      </c>
      <c r="H984" s="5">
        <f>4413+1179+0</f>
        <v>5592</v>
      </c>
      <c r="K984" s="5">
        <v>14001</v>
      </c>
    </row>
    <row r="985" spans="1:11" hidden="1">
      <c r="A985" s="10" t="s">
        <v>77</v>
      </c>
      <c r="B985" s="11" t="s">
        <v>26</v>
      </c>
      <c r="D985" s="5">
        <v>10</v>
      </c>
      <c r="E985" s="5">
        <v>42</v>
      </c>
      <c r="H985" s="5">
        <v>508</v>
      </c>
      <c r="K985" s="5">
        <f>80+40+40</f>
        <v>160</v>
      </c>
    </row>
    <row r="986" spans="1:11" hidden="1">
      <c r="A986" s="10" t="s">
        <v>77</v>
      </c>
      <c r="B986" s="11" t="s">
        <v>27</v>
      </c>
      <c r="D986" s="5">
        <f>2+15</f>
        <v>17</v>
      </c>
      <c r="E986" s="5">
        <f>27+38</f>
        <v>65</v>
      </c>
      <c r="K986" s="5">
        <f>40+40</f>
        <v>80</v>
      </c>
    </row>
    <row r="987" spans="1:11" hidden="1">
      <c r="A987" s="10" t="s">
        <v>77</v>
      </c>
      <c r="B987" s="11" t="s">
        <v>28</v>
      </c>
    </row>
    <row r="988" spans="1:11" hidden="1">
      <c r="A988" s="10" t="s">
        <v>77</v>
      </c>
      <c r="B988" s="11" t="s">
        <v>29</v>
      </c>
      <c r="D988" s="5">
        <f>0+78</f>
        <v>78</v>
      </c>
      <c r="E988" s="5">
        <f>699+429</f>
        <v>1128</v>
      </c>
      <c r="H988" s="18">
        <v>5993</v>
      </c>
      <c r="K988" s="5">
        <f>1100+760</f>
        <v>1860</v>
      </c>
    </row>
    <row r="989" spans="1:11" hidden="1">
      <c r="A989" s="10" t="s">
        <v>77</v>
      </c>
      <c r="B989" s="11" t="s">
        <v>30</v>
      </c>
      <c r="H989" s="18"/>
      <c r="K989" s="5">
        <f>66+54</f>
        <v>120</v>
      </c>
    </row>
    <row r="990" spans="1:11" hidden="1">
      <c r="A990" s="10" t="s">
        <v>77</v>
      </c>
      <c r="B990" s="11" t="s">
        <v>31</v>
      </c>
      <c r="D990" s="5">
        <v>13</v>
      </c>
      <c r="E990" s="5">
        <v>35</v>
      </c>
      <c r="H990" s="5">
        <v>710</v>
      </c>
      <c r="K990" s="5">
        <v>80</v>
      </c>
    </row>
    <row r="991" spans="1:11" hidden="1">
      <c r="A991" s="10" t="s">
        <v>77</v>
      </c>
      <c r="B991" s="11" t="s">
        <v>32</v>
      </c>
      <c r="H991" s="5">
        <v>955</v>
      </c>
      <c r="K991" s="5">
        <f>50+50</f>
        <v>100</v>
      </c>
    </row>
    <row r="992" spans="1:11" hidden="1">
      <c r="A992" s="10" t="s">
        <v>77</v>
      </c>
      <c r="B992" s="11" t="s">
        <v>33</v>
      </c>
    </row>
    <row r="993" spans="1:2" hidden="1">
      <c r="A993" s="10" t="s">
        <v>78</v>
      </c>
      <c r="B993" s="11" t="s">
        <v>12</v>
      </c>
    </row>
    <row r="994" spans="1:2" hidden="1">
      <c r="A994" s="10" t="s">
        <v>78</v>
      </c>
      <c r="B994" s="11" t="s">
        <v>13</v>
      </c>
    </row>
    <row r="995" spans="1:2" hidden="1">
      <c r="A995" s="10" t="s">
        <v>78</v>
      </c>
      <c r="B995" s="11" t="s">
        <v>14</v>
      </c>
    </row>
    <row r="996" spans="1:2" hidden="1">
      <c r="A996" s="10" t="s">
        <v>78</v>
      </c>
      <c r="B996" s="11" t="s">
        <v>15</v>
      </c>
    </row>
    <row r="997" spans="1:2" hidden="1">
      <c r="A997" s="10" t="s">
        <v>78</v>
      </c>
      <c r="B997" s="11" t="s">
        <v>16</v>
      </c>
    </row>
    <row r="998" spans="1:2" hidden="1">
      <c r="A998" s="10" t="s">
        <v>78</v>
      </c>
      <c r="B998" s="11" t="s">
        <v>17</v>
      </c>
    </row>
    <row r="999" spans="1:2" hidden="1">
      <c r="A999" s="10" t="s">
        <v>78</v>
      </c>
      <c r="B999" s="11" t="s">
        <v>18</v>
      </c>
    </row>
    <row r="1000" spans="1:2" hidden="1">
      <c r="A1000" s="10" t="s">
        <v>78</v>
      </c>
      <c r="B1000" s="11" t="s">
        <v>19</v>
      </c>
    </row>
    <row r="1001" spans="1:2" hidden="1">
      <c r="A1001" s="10" t="s">
        <v>78</v>
      </c>
      <c r="B1001" s="11" t="s">
        <v>20</v>
      </c>
    </row>
    <row r="1002" spans="1:2">
      <c r="A1002" s="10" t="s">
        <v>78</v>
      </c>
      <c r="B1002" s="11" t="s">
        <v>21</v>
      </c>
    </row>
    <row r="1003" spans="1:2" hidden="1">
      <c r="A1003" s="10" t="s">
        <v>78</v>
      </c>
      <c r="B1003" s="11" t="s">
        <v>22</v>
      </c>
    </row>
    <row r="1004" spans="1:2" hidden="1">
      <c r="A1004" s="10" t="s">
        <v>78</v>
      </c>
      <c r="B1004" s="11" t="s">
        <v>23</v>
      </c>
    </row>
    <row r="1005" spans="1:2" hidden="1">
      <c r="A1005" s="10" t="s">
        <v>78</v>
      </c>
      <c r="B1005" s="11" t="s">
        <v>24</v>
      </c>
    </row>
    <row r="1006" spans="1:2" hidden="1">
      <c r="A1006" s="10" t="s">
        <v>78</v>
      </c>
      <c r="B1006" s="11" t="s">
        <v>25</v>
      </c>
    </row>
    <row r="1007" spans="1:2" hidden="1">
      <c r="A1007" s="10" t="s">
        <v>78</v>
      </c>
      <c r="B1007" s="11" t="s">
        <v>26</v>
      </c>
    </row>
    <row r="1008" spans="1:2" hidden="1">
      <c r="A1008" s="10" t="s">
        <v>78</v>
      </c>
      <c r="B1008" s="11" t="s">
        <v>27</v>
      </c>
    </row>
    <row r="1009" spans="1:11" hidden="1">
      <c r="A1009" s="10" t="s">
        <v>78</v>
      </c>
      <c r="B1009" s="11" t="s">
        <v>28</v>
      </c>
    </row>
    <row r="1010" spans="1:11" hidden="1">
      <c r="A1010" s="10" t="s">
        <v>78</v>
      </c>
      <c r="B1010" s="11" t="s">
        <v>29</v>
      </c>
    </row>
    <row r="1011" spans="1:11" hidden="1">
      <c r="A1011" s="10" t="s">
        <v>78</v>
      </c>
      <c r="B1011" s="11" t="s">
        <v>30</v>
      </c>
    </row>
    <row r="1012" spans="1:11" hidden="1">
      <c r="A1012" s="10" t="s">
        <v>78</v>
      </c>
      <c r="B1012" s="11" t="s">
        <v>31</v>
      </c>
    </row>
    <row r="1013" spans="1:11" hidden="1">
      <c r="A1013" s="10" t="s">
        <v>78</v>
      </c>
      <c r="B1013" s="11" t="s">
        <v>32</v>
      </c>
    </row>
    <row r="1014" spans="1:11" hidden="1">
      <c r="A1014" s="10" t="s">
        <v>78</v>
      </c>
      <c r="B1014" s="11" t="s">
        <v>33</v>
      </c>
    </row>
    <row r="1015" spans="1:11" hidden="1">
      <c r="A1015" s="10" t="s">
        <v>79</v>
      </c>
      <c r="B1015" s="11" t="s">
        <v>12</v>
      </c>
    </row>
    <row r="1016" spans="1:11" hidden="1">
      <c r="A1016" s="10" t="s">
        <v>79</v>
      </c>
      <c r="B1016" s="11" t="s">
        <v>13</v>
      </c>
    </row>
    <row r="1017" spans="1:11" hidden="1">
      <c r="A1017" s="10" t="s">
        <v>79</v>
      </c>
      <c r="B1017" s="11" t="s">
        <v>14</v>
      </c>
    </row>
    <row r="1018" spans="1:11" hidden="1">
      <c r="A1018" s="10" t="s">
        <v>79</v>
      </c>
      <c r="B1018" s="11" t="s">
        <v>15</v>
      </c>
    </row>
    <row r="1019" spans="1:11" hidden="1">
      <c r="A1019" s="10" t="s">
        <v>79</v>
      </c>
      <c r="B1019" s="11" t="s">
        <v>16</v>
      </c>
    </row>
    <row r="1020" spans="1:11" hidden="1">
      <c r="A1020" s="10" t="s">
        <v>79</v>
      </c>
      <c r="B1020" s="11" t="s">
        <v>17</v>
      </c>
      <c r="K1020" s="18">
        <v>100</v>
      </c>
    </row>
    <row r="1021" spans="1:11" hidden="1">
      <c r="A1021" s="10" t="s">
        <v>79</v>
      </c>
      <c r="B1021" s="11" t="s">
        <v>18</v>
      </c>
      <c r="K1021" s="18"/>
    </row>
    <row r="1022" spans="1:11" hidden="1">
      <c r="A1022" s="10" t="s">
        <v>79</v>
      </c>
      <c r="B1022" s="11" t="s">
        <v>19</v>
      </c>
      <c r="K1022" s="18">
        <v>100</v>
      </c>
    </row>
    <row r="1023" spans="1:11" hidden="1">
      <c r="A1023" s="10" t="s">
        <v>79</v>
      </c>
      <c r="B1023" s="11" t="s">
        <v>20</v>
      </c>
      <c r="K1023" s="18"/>
    </row>
    <row r="1024" spans="1:11">
      <c r="A1024" s="10" t="s">
        <v>79</v>
      </c>
      <c r="B1024" s="11" t="s">
        <v>21</v>
      </c>
      <c r="K1024" s="5">
        <v>100</v>
      </c>
    </row>
    <row r="1025" spans="1:11" hidden="1">
      <c r="A1025" s="10" t="s">
        <v>79</v>
      </c>
      <c r="B1025" s="11" t="s">
        <v>22</v>
      </c>
    </row>
    <row r="1026" spans="1:11" hidden="1">
      <c r="A1026" s="10" t="s">
        <v>79</v>
      </c>
      <c r="B1026" s="11" t="s">
        <v>23</v>
      </c>
    </row>
    <row r="1027" spans="1:11" hidden="1">
      <c r="A1027" s="10" t="s">
        <v>79</v>
      </c>
      <c r="B1027" s="11" t="s">
        <v>24</v>
      </c>
      <c r="K1027" s="5">
        <v>1500</v>
      </c>
    </row>
    <row r="1028" spans="1:11" hidden="1">
      <c r="A1028" s="10" t="s">
        <v>79</v>
      </c>
      <c r="B1028" s="11" t="s">
        <v>25</v>
      </c>
      <c r="K1028" s="5">
        <v>2950</v>
      </c>
    </row>
    <row r="1029" spans="1:11" hidden="1">
      <c r="A1029" s="10" t="s">
        <v>79</v>
      </c>
      <c r="B1029" s="11" t="s">
        <v>26</v>
      </c>
    </row>
    <row r="1030" spans="1:11" hidden="1">
      <c r="A1030" s="10" t="s">
        <v>79</v>
      </c>
      <c r="B1030" s="11" t="s">
        <v>27</v>
      </c>
    </row>
    <row r="1031" spans="1:11" hidden="1">
      <c r="A1031" s="10" t="s">
        <v>79</v>
      </c>
      <c r="B1031" s="11" t="s">
        <v>28</v>
      </c>
    </row>
    <row r="1032" spans="1:11" hidden="1">
      <c r="A1032" s="10" t="s">
        <v>79</v>
      </c>
      <c r="B1032" s="11" t="s">
        <v>29</v>
      </c>
      <c r="K1032" s="19">
        <v>100</v>
      </c>
    </row>
    <row r="1033" spans="1:11" hidden="1">
      <c r="A1033" s="10" t="s">
        <v>79</v>
      </c>
      <c r="B1033" s="11" t="s">
        <v>30</v>
      </c>
      <c r="K1033" s="20"/>
    </row>
    <row r="1034" spans="1:11" hidden="1">
      <c r="A1034" s="10" t="s">
        <v>79</v>
      </c>
      <c r="B1034" s="11" t="s">
        <v>31</v>
      </c>
      <c r="K1034" s="5">
        <v>100</v>
      </c>
    </row>
    <row r="1035" spans="1:11" hidden="1">
      <c r="A1035" s="10" t="s">
        <v>79</v>
      </c>
      <c r="B1035" s="11" t="s">
        <v>32</v>
      </c>
    </row>
    <row r="1036" spans="1:11" hidden="1">
      <c r="A1036" s="10" t="s">
        <v>79</v>
      </c>
      <c r="B1036" s="11" t="s">
        <v>33</v>
      </c>
    </row>
    <row r="1037" spans="1:11" hidden="1">
      <c r="A1037" s="10" t="s">
        <v>80</v>
      </c>
      <c r="B1037" s="11" t="s">
        <v>12</v>
      </c>
      <c r="H1037" s="5">
        <v>31</v>
      </c>
      <c r="K1037" s="5">
        <v>30</v>
      </c>
    </row>
    <row r="1038" spans="1:11" hidden="1">
      <c r="A1038" s="10" t="s">
        <v>80</v>
      </c>
      <c r="B1038" s="11" t="s">
        <v>13</v>
      </c>
    </row>
    <row r="1039" spans="1:11" hidden="1">
      <c r="A1039" s="10" t="s">
        <v>80</v>
      </c>
      <c r="B1039" s="11" t="s">
        <v>14</v>
      </c>
      <c r="E1039" s="19">
        <v>64</v>
      </c>
      <c r="H1039" s="19">
        <v>4953</v>
      </c>
      <c r="K1039" s="19">
        <v>67</v>
      </c>
    </row>
    <row r="1040" spans="1:11" hidden="1">
      <c r="A1040" s="10" t="s">
        <v>80</v>
      </c>
      <c r="B1040" s="11" t="s">
        <v>15</v>
      </c>
      <c r="E1040" s="18"/>
      <c r="H1040" s="18"/>
      <c r="K1040" s="18"/>
    </row>
    <row r="1041" spans="1:11" hidden="1">
      <c r="A1041" s="10" t="s">
        <v>80</v>
      </c>
      <c r="B1041" s="11" t="s">
        <v>16</v>
      </c>
      <c r="E1041" s="20"/>
      <c r="H1041" s="20"/>
      <c r="K1041" s="20"/>
    </row>
    <row r="1042" spans="1:11" hidden="1">
      <c r="A1042" s="10" t="s">
        <v>80</v>
      </c>
      <c r="B1042" s="11" t="s">
        <v>17</v>
      </c>
      <c r="E1042" s="18">
        <v>353</v>
      </c>
      <c r="H1042" s="18">
        <v>46255</v>
      </c>
      <c r="K1042" s="18">
        <v>510</v>
      </c>
    </row>
    <row r="1043" spans="1:11" hidden="1">
      <c r="A1043" s="10" t="s">
        <v>80</v>
      </c>
      <c r="B1043" s="11" t="s">
        <v>18</v>
      </c>
      <c r="E1043" s="18"/>
      <c r="H1043" s="18"/>
      <c r="K1043" s="18"/>
    </row>
    <row r="1044" spans="1:11" hidden="1">
      <c r="A1044" s="10" t="s">
        <v>80</v>
      </c>
      <c r="B1044" s="11" t="s">
        <v>19</v>
      </c>
      <c r="E1044" s="18">
        <v>279</v>
      </c>
      <c r="H1044" s="18">
        <v>3084</v>
      </c>
      <c r="K1044" s="18">
        <v>640</v>
      </c>
    </row>
    <row r="1045" spans="1:11" hidden="1">
      <c r="A1045" s="10" t="s">
        <v>80</v>
      </c>
      <c r="B1045" s="11" t="s">
        <v>20</v>
      </c>
      <c r="E1045" s="18"/>
      <c r="H1045" s="18"/>
      <c r="K1045" s="18"/>
    </row>
    <row r="1046" spans="1:11">
      <c r="A1046" s="10" t="s">
        <v>80</v>
      </c>
      <c r="B1046" s="11" t="s">
        <v>21</v>
      </c>
      <c r="E1046" s="5">
        <v>212</v>
      </c>
      <c r="H1046" s="5">
        <v>2904</v>
      </c>
      <c r="K1046" s="5">
        <v>250</v>
      </c>
    </row>
    <row r="1047" spans="1:11" hidden="1">
      <c r="A1047" s="10" t="s">
        <v>80</v>
      </c>
      <c r="B1047" s="11" t="s">
        <v>22</v>
      </c>
      <c r="E1047" s="5">
        <v>83</v>
      </c>
      <c r="H1047" s="5">
        <v>743</v>
      </c>
      <c r="K1047" s="5">
        <v>90</v>
      </c>
    </row>
    <row r="1048" spans="1:11" hidden="1">
      <c r="A1048" s="10" t="s">
        <v>80</v>
      </c>
      <c r="B1048" s="11" t="s">
        <v>23</v>
      </c>
      <c r="E1048" s="5">
        <v>8</v>
      </c>
      <c r="H1048" s="5">
        <v>25</v>
      </c>
      <c r="K1048" s="5">
        <v>10</v>
      </c>
    </row>
    <row r="1049" spans="1:11" hidden="1">
      <c r="A1049" s="10" t="s">
        <v>80</v>
      </c>
      <c r="B1049" s="11" t="s">
        <v>24</v>
      </c>
      <c r="E1049" s="5">
        <v>279</v>
      </c>
      <c r="H1049" s="5">
        <v>1874</v>
      </c>
      <c r="K1049" s="5">
        <v>339</v>
      </c>
    </row>
    <row r="1050" spans="1:11" hidden="1">
      <c r="A1050" s="10" t="s">
        <v>80</v>
      </c>
      <c r="B1050" s="11" t="s">
        <v>25</v>
      </c>
      <c r="E1050" s="5">
        <v>1597</v>
      </c>
      <c r="H1050" s="5">
        <v>324861</v>
      </c>
      <c r="K1050" s="5">
        <v>1853</v>
      </c>
    </row>
    <row r="1051" spans="1:11" hidden="1">
      <c r="A1051" s="10" t="s">
        <v>80</v>
      </c>
      <c r="B1051" s="11" t="s">
        <v>26</v>
      </c>
      <c r="E1051" s="5">
        <v>6</v>
      </c>
      <c r="H1051" s="5">
        <v>7</v>
      </c>
      <c r="K1051" s="5">
        <v>200</v>
      </c>
    </row>
    <row r="1052" spans="1:11" hidden="1">
      <c r="A1052" s="10" t="s">
        <v>80</v>
      </c>
      <c r="B1052" s="11" t="s">
        <v>27</v>
      </c>
      <c r="E1052" s="5">
        <v>16</v>
      </c>
      <c r="H1052" s="5">
        <v>91</v>
      </c>
      <c r="K1052" s="5">
        <v>16</v>
      </c>
    </row>
    <row r="1053" spans="1:11" hidden="1">
      <c r="A1053" s="10" t="s">
        <v>80</v>
      </c>
      <c r="B1053" s="11" t="s">
        <v>28</v>
      </c>
    </row>
    <row r="1054" spans="1:11" hidden="1">
      <c r="A1054" s="10" t="s">
        <v>80</v>
      </c>
      <c r="B1054" s="11" t="s">
        <v>29</v>
      </c>
      <c r="E1054" s="18">
        <v>175</v>
      </c>
      <c r="H1054" s="19">
        <v>5645</v>
      </c>
      <c r="K1054" s="18">
        <v>165</v>
      </c>
    </row>
    <row r="1055" spans="1:11" hidden="1">
      <c r="A1055" s="10" t="s">
        <v>80</v>
      </c>
      <c r="B1055" s="11" t="s">
        <v>30</v>
      </c>
      <c r="E1055" s="18"/>
      <c r="H1055" s="20"/>
      <c r="K1055" s="18"/>
    </row>
    <row r="1056" spans="1:11" hidden="1">
      <c r="A1056" s="10" t="s">
        <v>80</v>
      </c>
      <c r="B1056" s="11" t="s">
        <v>31</v>
      </c>
      <c r="E1056" s="5">
        <v>22</v>
      </c>
      <c r="H1056" s="5">
        <v>68</v>
      </c>
      <c r="K1056" s="5">
        <v>15</v>
      </c>
    </row>
    <row r="1057" spans="1:11" hidden="1">
      <c r="A1057" s="10" t="s">
        <v>80</v>
      </c>
      <c r="B1057" s="11" t="s">
        <v>32</v>
      </c>
      <c r="E1057" s="5">
        <v>15</v>
      </c>
      <c r="H1057" s="5">
        <v>32</v>
      </c>
      <c r="K1057" s="5">
        <v>20</v>
      </c>
    </row>
    <row r="1058" spans="1:11" hidden="1">
      <c r="A1058" s="10" t="s">
        <v>80</v>
      </c>
      <c r="B1058" s="11" t="s">
        <v>33</v>
      </c>
    </row>
    <row r="1046573" spans="9:13" ht="15.5">
      <c r="I1046573" s="13"/>
      <c r="J1046573" s="13"/>
      <c r="K1046573" s="13"/>
      <c r="L1046573" s="13"/>
      <c r="M1046573" s="13"/>
    </row>
    <row r="1047586" spans="3:13" ht="15.5">
      <c r="C1047586" s="13"/>
      <c r="D1047586" s="13"/>
      <c r="E1047586" s="13"/>
      <c r="F1047586" s="13"/>
      <c r="G1047586" s="13"/>
      <c r="H1047586" s="13"/>
      <c r="I1047586" s="13"/>
      <c r="J1047586" s="13"/>
      <c r="K1047586" s="13"/>
      <c r="L1047586" s="13"/>
      <c r="M1047586" s="13"/>
    </row>
  </sheetData>
  <autoFilter ref="A1:K1058" xr:uid="{00000000-0001-0000-0000-000000000000}">
    <filterColumn colId="1">
      <filters>
        <filter val="Medical Doctors"/>
      </filters>
    </filterColumn>
  </autoFilter>
  <mergeCells count="34">
    <mergeCell ref="C976:C977"/>
    <mergeCell ref="C978:C979"/>
    <mergeCell ref="D335:D336"/>
    <mergeCell ref="D973:D974"/>
    <mergeCell ref="D976:D977"/>
    <mergeCell ref="D978:D979"/>
    <mergeCell ref="E335:E336"/>
    <mergeCell ref="E973:E974"/>
    <mergeCell ref="E976:E977"/>
    <mergeCell ref="E978:E979"/>
    <mergeCell ref="E1039:E1041"/>
    <mergeCell ref="E1042:E1043"/>
    <mergeCell ref="E1044:E1045"/>
    <mergeCell ref="E1054:E1055"/>
    <mergeCell ref="H604:H605"/>
    <mergeCell ref="H973:H974"/>
    <mergeCell ref="H978:H979"/>
    <mergeCell ref="H988:H989"/>
    <mergeCell ref="H1039:H1041"/>
    <mergeCell ref="H1042:H1043"/>
    <mergeCell ref="H1044:H1045"/>
    <mergeCell ref="H1054:H1055"/>
    <mergeCell ref="J494:J495"/>
    <mergeCell ref="J697:J698"/>
    <mergeCell ref="K494:K495"/>
    <mergeCell ref="K604:K605"/>
    <mergeCell ref="K973:K974"/>
    <mergeCell ref="K1044:K1045"/>
    <mergeCell ref="K1054:K1055"/>
    <mergeCell ref="K1020:K1021"/>
    <mergeCell ref="K1022:K1023"/>
    <mergeCell ref="K1032:K1033"/>
    <mergeCell ref="K1039:K1041"/>
    <mergeCell ref="K1042:K10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27"/>
  <sheetViews>
    <sheetView zoomScale="80" zoomScaleNormal="80" workbookViewId="0">
      <selection activeCell="A4" sqref="A4:L26"/>
    </sheetView>
  </sheetViews>
  <sheetFormatPr defaultColWidth="9" defaultRowHeight="14.5"/>
  <cols>
    <col min="1" max="1" width="64.1796875" customWidth="1"/>
    <col min="2" max="2" width="16.453125" customWidth="1"/>
    <col min="3" max="6" width="6.1796875" customWidth="1"/>
    <col min="7" max="7" width="7.1796875" customWidth="1"/>
    <col min="8" max="8" width="6.1796875" customWidth="1"/>
    <col min="9" max="9" width="5.1796875" customWidth="1"/>
    <col min="10" max="10" width="6.1796875" customWidth="1"/>
    <col min="11" max="11" width="5.1796875" customWidth="1"/>
    <col min="12" max="12" width="7.1796875" customWidth="1"/>
    <col min="13" max="13" width="11" customWidth="1"/>
    <col min="14" max="14" width="10.81640625" customWidth="1"/>
    <col min="15" max="15" width="10" customWidth="1"/>
    <col min="16" max="16" width="10.81640625" customWidth="1"/>
    <col min="17" max="17" width="10" customWidth="1"/>
    <col min="18" max="18" width="10.81640625" customWidth="1"/>
    <col min="19" max="19" width="10" customWidth="1"/>
    <col min="20" max="20" width="10.81640625" customWidth="1"/>
    <col min="21" max="21" width="10" customWidth="1"/>
    <col min="22" max="22" width="10.81640625" customWidth="1"/>
    <col min="23" max="23" width="10" customWidth="1"/>
    <col min="24" max="24" width="15.7265625" customWidth="1"/>
    <col min="25" max="25" width="14.81640625" customWidth="1"/>
  </cols>
  <sheetData>
    <row r="3" spans="1:13">
      <c r="A3" t="s">
        <v>81</v>
      </c>
      <c r="B3" t="s">
        <v>82</v>
      </c>
    </row>
    <row r="4" spans="1:13">
      <c r="A4" t="s">
        <v>83</v>
      </c>
      <c r="B4">
        <v>2012</v>
      </c>
      <c r="C4">
        <v>2013</v>
      </c>
      <c r="D4">
        <v>2014</v>
      </c>
      <c r="E4">
        <v>2015</v>
      </c>
      <c r="F4">
        <v>2016</v>
      </c>
      <c r="G4">
        <v>2017</v>
      </c>
      <c r="H4">
        <v>2018</v>
      </c>
      <c r="I4">
        <v>2019</v>
      </c>
      <c r="J4">
        <v>2020</v>
      </c>
      <c r="K4">
        <v>2021</v>
      </c>
      <c r="L4">
        <v>2022</v>
      </c>
      <c r="M4" t="s">
        <v>84</v>
      </c>
    </row>
    <row r="5" spans="1:13">
      <c r="A5" s="3" t="s">
        <v>85</v>
      </c>
    </row>
    <row r="6" spans="1:13">
      <c r="A6" s="3" t="s">
        <v>86</v>
      </c>
      <c r="E6">
        <v>11200</v>
      </c>
      <c r="G6">
        <v>15000</v>
      </c>
      <c r="H6">
        <v>15888</v>
      </c>
      <c r="L6">
        <v>19722</v>
      </c>
      <c r="M6">
        <v>61810</v>
      </c>
    </row>
    <row r="7" spans="1:13">
      <c r="A7" s="3" t="s">
        <v>87</v>
      </c>
      <c r="D7">
        <v>171</v>
      </c>
      <c r="E7">
        <v>261</v>
      </c>
      <c r="F7">
        <v>157</v>
      </c>
      <c r="G7">
        <v>276</v>
      </c>
      <c r="H7">
        <v>508</v>
      </c>
      <c r="I7">
        <v>329</v>
      </c>
      <c r="L7">
        <v>178</v>
      </c>
      <c r="M7">
        <v>1880</v>
      </c>
    </row>
    <row r="8" spans="1:13">
      <c r="A8" s="3" t="s">
        <v>88</v>
      </c>
      <c r="H8">
        <v>14</v>
      </c>
      <c r="I8">
        <v>25</v>
      </c>
      <c r="M8">
        <v>39</v>
      </c>
    </row>
    <row r="9" spans="1:13">
      <c r="A9" s="3" t="s">
        <v>89</v>
      </c>
      <c r="B9">
        <v>233</v>
      </c>
      <c r="C9">
        <v>236</v>
      </c>
      <c r="D9">
        <v>107</v>
      </c>
      <c r="E9">
        <v>66</v>
      </c>
      <c r="F9">
        <v>136</v>
      </c>
      <c r="G9">
        <v>109</v>
      </c>
      <c r="H9">
        <v>104</v>
      </c>
      <c r="I9">
        <v>248</v>
      </c>
      <c r="J9">
        <v>234</v>
      </c>
      <c r="L9">
        <v>2703</v>
      </c>
      <c r="M9">
        <v>4176</v>
      </c>
    </row>
    <row r="10" spans="1:13">
      <c r="A10" s="3" t="s">
        <v>90</v>
      </c>
      <c r="B10">
        <v>1905</v>
      </c>
      <c r="C10">
        <v>1885</v>
      </c>
      <c r="D10">
        <v>2052</v>
      </c>
      <c r="E10">
        <v>2494</v>
      </c>
      <c r="F10">
        <v>1843</v>
      </c>
      <c r="G10">
        <v>2036</v>
      </c>
      <c r="H10">
        <v>2305</v>
      </c>
      <c r="L10">
        <v>690</v>
      </c>
      <c r="M10">
        <v>15210</v>
      </c>
    </row>
    <row r="11" spans="1:13">
      <c r="A11" s="3" t="s">
        <v>91</v>
      </c>
      <c r="D11">
        <v>2052</v>
      </c>
      <c r="L11">
        <v>1994</v>
      </c>
      <c r="M11">
        <v>4046</v>
      </c>
    </row>
    <row r="12" spans="1:13">
      <c r="A12" s="3" t="s">
        <v>92</v>
      </c>
      <c r="B12">
        <v>352</v>
      </c>
      <c r="C12">
        <v>343</v>
      </c>
      <c r="H12">
        <v>644</v>
      </c>
      <c r="L12">
        <v>757</v>
      </c>
      <c r="M12">
        <v>2096</v>
      </c>
    </row>
    <row r="13" spans="1:13">
      <c r="A13" s="3" t="s">
        <v>93</v>
      </c>
      <c r="D13">
        <v>519</v>
      </c>
      <c r="E13">
        <v>644</v>
      </c>
      <c r="F13">
        <v>600</v>
      </c>
      <c r="G13">
        <v>781</v>
      </c>
      <c r="H13">
        <v>1126</v>
      </c>
      <c r="L13">
        <v>795</v>
      </c>
      <c r="M13">
        <v>4465</v>
      </c>
    </row>
    <row r="14" spans="1:13">
      <c r="A14" s="3" t="s">
        <v>94</v>
      </c>
      <c r="B14">
        <v>2118</v>
      </c>
      <c r="C14">
        <v>2228</v>
      </c>
      <c r="D14">
        <v>3561</v>
      </c>
      <c r="E14">
        <v>5462</v>
      </c>
      <c r="F14">
        <v>5458</v>
      </c>
      <c r="G14">
        <v>5734</v>
      </c>
      <c r="H14">
        <v>6665</v>
      </c>
      <c r="I14">
        <v>0</v>
      </c>
      <c r="J14">
        <v>5914</v>
      </c>
      <c r="K14">
        <v>0</v>
      </c>
      <c r="L14">
        <v>6133</v>
      </c>
      <c r="M14">
        <v>43273</v>
      </c>
    </row>
    <row r="15" spans="1:13">
      <c r="A15" s="3" t="s">
        <v>95</v>
      </c>
      <c r="B15">
        <v>233</v>
      </c>
      <c r="C15">
        <v>239</v>
      </c>
      <c r="D15">
        <v>312</v>
      </c>
      <c r="E15">
        <v>511</v>
      </c>
      <c r="F15">
        <v>320</v>
      </c>
      <c r="G15">
        <v>417</v>
      </c>
      <c r="H15">
        <v>480</v>
      </c>
      <c r="M15">
        <v>2512</v>
      </c>
    </row>
    <row r="16" spans="1:13">
      <c r="A16" s="3" t="s">
        <v>96</v>
      </c>
      <c r="B16">
        <v>27</v>
      </c>
      <c r="C16">
        <v>26</v>
      </c>
      <c r="D16">
        <v>26</v>
      </c>
      <c r="F16">
        <v>17</v>
      </c>
      <c r="H16">
        <v>26</v>
      </c>
      <c r="M16">
        <v>122</v>
      </c>
    </row>
    <row r="17" spans="1:13">
      <c r="A17" s="3" t="s">
        <v>97</v>
      </c>
      <c r="B17">
        <v>0</v>
      </c>
      <c r="C17">
        <v>0</v>
      </c>
      <c r="D17">
        <v>0</v>
      </c>
      <c r="E17">
        <v>0</v>
      </c>
      <c r="F17">
        <v>0</v>
      </c>
      <c r="G17">
        <v>17612</v>
      </c>
      <c r="H17">
        <v>0</v>
      </c>
      <c r="I17">
        <v>0</v>
      </c>
      <c r="J17">
        <v>18586</v>
      </c>
      <c r="K17">
        <v>0</v>
      </c>
      <c r="L17">
        <v>5592</v>
      </c>
      <c r="M17">
        <v>41790</v>
      </c>
    </row>
    <row r="18" spans="1:13">
      <c r="A18" s="3" t="s">
        <v>98</v>
      </c>
      <c r="B18">
        <v>31072</v>
      </c>
      <c r="C18">
        <v>37444</v>
      </c>
      <c r="D18">
        <v>44810</v>
      </c>
      <c r="E18">
        <v>41532</v>
      </c>
      <c r="F18">
        <v>42747</v>
      </c>
      <c r="G18">
        <v>59965</v>
      </c>
      <c r="H18">
        <v>67752</v>
      </c>
      <c r="I18">
        <v>0</v>
      </c>
      <c r="J18">
        <v>44998</v>
      </c>
      <c r="K18">
        <v>0</v>
      </c>
      <c r="L18">
        <v>64364</v>
      </c>
      <c r="M18">
        <v>434684</v>
      </c>
    </row>
    <row r="19" spans="1:13">
      <c r="A19" s="3" t="s">
        <v>99</v>
      </c>
      <c r="B19">
        <v>855</v>
      </c>
      <c r="C19">
        <v>845</v>
      </c>
      <c r="D19">
        <v>819</v>
      </c>
      <c r="F19">
        <v>58</v>
      </c>
      <c r="H19">
        <v>56</v>
      </c>
      <c r="L19">
        <v>77</v>
      </c>
      <c r="M19">
        <v>2710</v>
      </c>
    </row>
    <row r="20" spans="1:13">
      <c r="A20" s="3" t="s">
        <v>100</v>
      </c>
      <c r="F20">
        <v>13</v>
      </c>
      <c r="G20">
        <v>20</v>
      </c>
      <c r="H20">
        <v>20</v>
      </c>
      <c r="M20">
        <v>53</v>
      </c>
    </row>
    <row r="21" spans="1:13">
      <c r="A21" s="3" t="s">
        <v>101</v>
      </c>
      <c r="D21">
        <v>145</v>
      </c>
      <c r="F21">
        <v>130</v>
      </c>
      <c r="G21">
        <v>174</v>
      </c>
      <c r="M21">
        <v>449</v>
      </c>
    </row>
    <row r="22" spans="1:13">
      <c r="A22" s="3" t="s">
        <v>102</v>
      </c>
      <c r="D22">
        <v>511</v>
      </c>
      <c r="E22">
        <v>443</v>
      </c>
      <c r="F22">
        <v>540</v>
      </c>
      <c r="G22">
        <v>726</v>
      </c>
      <c r="H22">
        <v>1827</v>
      </c>
      <c r="L22">
        <v>588</v>
      </c>
      <c r="M22">
        <v>4635</v>
      </c>
    </row>
    <row r="23" spans="1:13">
      <c r="A23" s="3" t="s">
        <v>103</v>
      </c>
      <c r="B23">
        <v>378</v>
      </c>
      <c r="C23">
        <v>394</v>
      </c>
      <c r="D23">
        <v>193</v>
      </c>
      <c r="E23">
        <v>141</v>
      </c>
      <c r="F23">
        <v>219</v>
      </c>
      <c r="G23">
        <v>272</v>
      </c>
      <c r="H23">
        <v>1397</v>
      </c>
      <c r="J23">
        <v>1600</v>
      </c>
      <c r="L23">
        <v>1902</v>
      </c>
      <c r="M23">
        <v>6496</v>
      </c>
    </row>
    <row r="24" spans="1:13">
      <c r="A24" s="3" t="s">
        <v>104</v>
      </c>
      <c r="B24">
        <v>377</v>
      </c>
      <c r="C24">
        <v>419</v>
      </c>
      <c r="D24">
        <v>413</v>
      </c>
      <c r="E24">
        <v>472</v>
      </c>
      <c r="F24">
        <v>432</v>
      </c>
      <c r="G24">
        <v>503</v>
      </c>
      <c r="H24">
        <v>439</v>
      </c>
      <c r="L24">
        <v>400</v>
      </c>
      <c r="M24">
        <v>3455</v>
      </c>
    </row>
    <row r="25" spans="1:13">
      <c r="A25" s="3" t="s">
        <v>105</v>
      </c>
      <c r="L25">
        <v>39</v>
      </c>
      <c r="M25">
        <v>39</v>
      </c>
    </row>
    <row r="26" spans="1:13">
      <c r="A26" s="3" t="s">
        <v>106</v>
      </c>
      <c r="H26">
        <v>12</v>
      </c>
      <c r="L26">
        <v>84</v>
      </c>
      <c r="M26">
        <v>96</v>
      </c>
    </row>
    <row r="27" spans="1:13">
      <c r="A27" s="3" t="s">
        <v>84</v>
      </c>
      <c r="B27">
        <v>37550</v>
      </c>
      <c r="C27">
        <v>44059</v>
      </c>
      <c r="D27">
        <v>55691</v>
      </c>
      <c r="E27">
        <v>63226</v>
      </c>
      <c r="F27">
        <v>52670</v>
      </c>
      <c r="G27">
        <v>103625</v>
      </c>
      <c r="H27">
        <v>99263</v>
      </c>
      <c r="I27">
        <v>602</v>
      </c>
      <c r="J27">
        <v>71332</v>
      </c>
      <c r="K27">
        <v>0</v>
      </c>
      <c r="L27">
        <v>106018</v>
      </c>
      <c r="M27">
        <v>634036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43"/>
  <sheetViews>
    <sheetView workbookViewId="0">
      <pane ySplit="1" topLeftCell="A2" activePane="bottomLeft" state="frozen"/>
      <selection pane="bottomLeft" activeCell="B15" sqref="B15"/>
    </sheetView>
  </sheetViews>
  <sheetFormatPr defaultColWidth="9" defaultRowHeight="14.5"/>
  <cols>
    <col min="2" max="2" width="64" customWidth="1"/>
  </cols>
  <sheetData>
    <row r="1" spans="1:49">
      <c r="A1" t="s">
        <v>107</v>
      </c>
      <c r="B1" t="s">
        <v>108</v>
      </c>
      <c r="C1" t="s">
        <v>11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</row>
    <row r="2" spans="1:49">
      <c r="A2">
        <v>2012</v>
      </c>
      <c r="B2" t="s">
        <v>94</v>
      </c>
      <c r="C2">
        <v>0</v>
      </c>
      <c r="D2">
        <v>996</v>
      </c>
      <c r="E2">
        <v>26</v>
      </c>
      <c r="F2">
        <v>1574</v>
      </c>
      <c r="G2">
        <v>1638</v>
      </c>
      <c r="H2">
        <v>0</v>
      </c>
      <c r="I2">
        <v>0</v>
      </c>
      <c r="J2">
        <v>0</v>
      </c>
      <c r="K2">
        <v>0</v>
      </c>
      <c r="L2">
        <v>0</v>
      </c>
      <c r="M2">
        <v>246</v>
      </c>
      <c r="N2">
        <v>520</v>
      </c>
      <c r="O2">
        <v>0</v>
      </c>
      <c r="P2">
        <v>389</v>
      </c>
      <c r="Q2">
        <v>0</v>
      </c>
      <c r="R2">
        <v>0</v>
      </c>
      <c r="S2">
        <v>4972</v>
      </c>
      <c r="T2">
        <v>0</v>
      </c>
      <c r="U2">
        <v>0</v>
      </c>
      <c r="V2">
        <v>0</v>
      </c>
      <c r="W2">
        <v>0</v>
      </c>
      <c r="X2">
        <v>16184</v>
      </c>
      <c r="Y2">
        <v>0</v>
      </c>
      <c r="Z2">
        <v>0</v>
      </c>
      <c r="AA2">
        <v>6376</v>
      </c>
      <c r="AB2">
        <v>3525</v>
      </c>
      <c r="AC2">
        <v>2716</v>
      </c>
      <c r="AD2">
        <v>0</v>
      </c>
      <c r="AE2">
        <v>3444</v>
      </c>
      <c r="AF2">
        <v>0</v>
      </c>
      <c r="AG2">
        <v>0</v>
      </c>
      <c r="AH2">
        <v>1904</v>
      </c>
      <c r="AI2">
        <v>144</v>
      </c>
      <c r="AJ2">
        <v>0</v>
      </c>
      <c r="AK2">
        <v>0</v>
      </c>
      <c r="AL2">
        <v>8</v>
      </c>
      <c r="AM2">
        <v>0</v>
      </c>
      <c r="AN2">
        <v>0</v>
      </c>
      <c r="AO2">
        <v>0</v>
      </c>
      <c r="AP2">
        <v>186</v>
      </c>
      <c r="AQ2">
        <v>1056</v>
      </c>
      <c r="AR2">
        <v>49</v>
      </c>
      <c r="AS2">
        <v>2962</v>
      </c>
      <c r="AT2">
        <v>6740</v>
      </c>
      <c r="AU2">
        <v>0</v>
      </c>
      <c r="AV2">
        <v>156</v>
      </c>
      <c r="AW2">
        <v>2118</v>
      </c>
    </row>
    <row r="3" spans="1:49">
      <c r="A3">
        <v>2012</v>
      </c>
      <c r="B3" t="s">
        <v>98</v>
      </c>
      <c r="C3">
        <v>0</v>
      </c>
      <c r="D3">
        <v>12972</v>
      </c>
      <c r="E3">
        <v>10276</v>
      </c>
      <c r="F3">
        <v>12016</v>
      </c>
      <c r="G3">
        <v>11632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1102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4772</v>
      </c>
      <c r="V3">
        <v>0</v>
      </c>
      <c r="W3">
        <v>0</v>
      </c>
      <c r="X3">
        <v>123538</v>
      </c>
      <c r="Y3">
        <v>0</v>
      </c>
      <c r="Z3">
        <v>0</v>
      </c>
      <c r="AA3">
        <v>6766</v>
      </c>
      <c r="AB3">
        <v>8514</v>
      </c>
      <c r="AC3">
        <v>11652</v>
      </c>
      <c r="AD3">
        <v>0</v>
      </c>
      <c r="AE3">
        <v>7474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838</v>
      </c>
      <c r="AQ3">
        <v>6282</v>
      </c>
      <c r="AR3">
        <v>0</v>
      </c>
      <c r="AS3">
        <v>41600</v>
      </c>
      <c r="AT3">
        <v>81632</v>
      </c>
      <c r="AU3">
        <v>117444</v>
      </c>
      <c r="AV3">
        <v>0</v>
      </c>
      <c r="AW3">
        <v>31072</v>
      </c>
    </row>
    <row r="4" spans="1:49">
      <c r="A4">
        <v>2012</v>
      </c>
      <c r="B4" t="s">
        <v>97</v>
      </c>
      <c r="C4">
        <v>0</v>
      </c>
      <c r="D4">
        <v>32</v>
      </c>
      <c r="E4">
        <v>2960</v>
      </c>
      <c r="F4">
        <v>8902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1334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2950</v>
      </c>
      <c r="AB4">
        <v>3540</v>
      </c>
      <c r="AC4">
        <v>8522</v>
      </c>
      <c r="AD4">
        <v>0</v>
      </c>
      <c r="AE4">
        <v>0</v>
      </c>
      <c r="AF4">
        <v>0</v>
      </c>
      <c r="AG4">
        <v>0</v>
      </c>
      <c r="AH4">
        <v>1788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832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>
        <v>2012</v>
      </c>
      <c r="B5" t="s">
        <v>89</v>
      </c>
      <c r="F5">
        <v>38</v>
      </c>
      <c r="G5">
        <v>55</v>
      </c>
      <c r="M5">
        <v>18</v>
      </c>
      <c r="X5">
        <v>985</v>
      </c>
      <c r="AA5">
        <v>181</v>
      </c>
      <c r="AC5">
        <v>69</v>
      </c>
      <c r="AE5">
        <v>301</v>
      </c>
      <c r="AP5">
        <v>14</v>
      </c>
      <c r="AS5">
        <v>99</v>
      </c>
      <c r="AU5">
        <v>5554</v>
      </c>
      <c r="AW5">
        <v>233</v>
      </c>
    </row>
    <row r="6" spans="1:49">
      <c r="A6">
        <v>2012</v>
      </c>
      <c r="B6" t="s">
        <v>87</v>
      </c>
      <c r="AC6">
        <v>305</v>
      </c>
      <c r="AS6">
        <v>366</v>
      </c>
      <c r="AU6">
        <v>4104</v>
      </c>
      <c r="AV6">
        <v>282</v>
      </c>
    </row>
    <row r="7" spans="1:49">
      <c r="A7">
        <v>2012</v>
      </c>
      <c r="B7" t="s">
        <v>88</v>
      </c>
      <c r="AC7">
        <v>33</v>
      </c>
      <c r="AS7">
        <v>44</v>
      </c>
      <c r="AV7">
        <v>42</v>
      </c>
    </row>
    <row r="8" spans="1:49">
      <c r="A8">
        <v>2012</v>
      </c>
      <c r="B8" t="s">
        <v>103</v>
      </c>
      <c r="D8">
        <v>4</v>
      </c>
      <c r="F8">
        <v>203</v>
      </c>
      <c r="M8">
        <v>16</v>
      </c>
      <c r="X8">
        <v>2076</v>
      </c>
      <c r="AA8">
        <v>6</v>
      </c>
      <c r="AC8">
        <v>72</v>
      </c>
      <c r="AE8">
        <v>432</v>
      </c>
      <c r="AH8">
        <v>53</v>
      </c>
      <c r="AP8">
        <v>4</v>
      </c>
      <c r="AQ8">
        <v>68</v>
      </c>
      <c r="AS8">
        <v>339</v>
      </c>
      <c r="AT8">
        <v>550</v>
      </c>
      <c r="AU8">
        <v>13642</v>
      </c>
      <c r="AV8">
        <v>409</v>
      </c>
      <c r="AW8">
        <v>378</v>
      </c>
    </row>
    <row r="9" spans="1:49">
      <c r="A9">
        <v>2012</v>
      </c>
      <c r="B9" t="s">
        <v>102</v>
      </c>
      <c r="F9">
        <v>148</v>
      </c>
      <c r="AC9">
        <v>1390</v>
      </c>
      <c r="AS9">
        <v>317</v>
      </c>
      <c r="AT9">
        <v>650</v>
      </c>
      <c r="AU9">
        <v>7320</v>
      </c>
      <c r="AV9">
        <v>814</v>
      </c>
    </row>
    <row r="10" spans="1:49">
      <c r="A10">
        <v>2012</v>
      </c>
      <c r="B10" t="s">
        <v>101</v>
      </c>
      <c r="AS10">
        <v>8787</v>
      </c>
      <c r="AU10">
        <v>90</v>
      </c>
      <c r="AV10">
        <v>3141</v>
      </c>
    </row>
    <row r="11" spans="1:49">
      <c r="A11">
        <v>2012</v>
      </c>
      <c r="B11" t="s">
        <v>92</v>
      </c>
      <c r="AS11">
        <v>89</v>
      </c>
      <c r="AU11">
        <v>133</v>
      </c>
      <c r="AV11">
        <v>184</v>
      </c>
      <c r="AW11">
        <v>352</v>
      </c>
    </row>
    <row r="12" spans="1:49">
      <c r="A12">
        <v>2012</v>
      </c>
      <c r="B12" t="s">
        <v>95</v>
      </c>
      <c r="E12">
        <v>241</v>
      </c>
      <c r="F12">
        <v>109</v>
      </c>
      <c r="AC12">
        <v>267</v>
      </c>
      <c r="AS12">
        <v>223</v>
      </c>
      <c r="AU12">
        <v>8095</v>
      </c>
      <c r="AV12">
        <v>500</v>
      </c>
      <c r="AW12">
        <v>233</v>
      </c>
    </row>
    <row r="13" spans="1:49">
      <c r="A13">
        <v>2012</v>
      </c>
      <c r="B13" t="s">
        <v>93</v>
      </c>
      <c r="E13">
        <v>845</v>
      </c>
      <c r="F13">
        <v>458</v>
      </c>
      <c r="M13">
        <v>86</v>
      </c>
      <c r="AC13">
        <v>1425</v>
      </c>
      <c r="AS13">
        <v>1997</v>
      </c>
      <c r="AU13">
        <v>171</v>
      </c>
      <c r="AV13">
        <v>1126</v>
      </c>
    </row>
    <row r="14" spans="1:49">
      <c r="A14">
        <v>2012</v>
      </c>
      <c r="B14" t="s">
        <v>90</v>
      </c>
      <c r="AS14">
        <v>929</v>
      </c>
      <c r="AU14">
        <v>3255</v>
      </c>
      <c r="AV14">
        <v>566</v>
      </c>
      <c r="AW14">
        <v>1905</v>
      </c>
    </row>
    <row r="15" spans="1:49">
      <c r="A15">
        <v>2012</v>
      </c>
      <c r="B15" t="s">
        <v>91</v>
      </c>
      <c r="F15">
        <v>91</v>
      </c>
      <c r="AA15">
        <v>755</v>
      </c>
    </row>
    <row r="16" spans="1:49">
      <c r="A16">
        <v>2012</v>
      </c>
      <c r="B16" t="s">
        <v>86</v>
      </c>
      <c r="F16">
        <v>2099</v>
      </c>
      <c r="G16">
        <v>166</v>
      </c>
      <c r="AC16">
        <v>1213</v>
      </c>
    </row>
    <row r="17" spans="1:49">
      <c r="A17">
        <v>2012</v>
      </c>
      <c r="B17" t="s">
        <v>104</v>
      </c>
      <c r="AC17">
        <v>281</v>
      </c>
      <c r="AS17">
        <v>118</v>
      </c>
      <c r="AV17">
        <v>70</v>
      </c>
      <c r="AW17">
        <v>377</v>
      </c>
    </row>
    <row r="18" spans="1:49">
      <c r="A18">
        <v>2012</v>
      </c>
      <c r="B18" t="s">
        <v>99</v>
      </c>
      <c r="AS18">
        <v>65</v>
      </c>
      <c r="AV18">
        <v>49</v>
      </c>
      <c r="AW18">
        <v>855</v>
      </c>
    </row>
    <row r="19" spans="1:49">
      <c r="A19">
        <v>2012</v>
      </c>
      <c r="B19" t="s">
        <v>85</v>
      </c>
      <c r="AU19">
        <v>2285</v>
      </c>
    </row>
    <row r="20" spans="1:49">
      <c r="A20">
        <v>2012</v>
      </c>
      <c r="B20" t="s">
        <v>100</v>
      </c>
      <c r="AC20">
        <v>76</v>
      </c>
      <c r="AS20">
        <v>82</v>
      </c>
      <c r="AU20">
        <v>3453</v>
      </c>
      <c r="AV20">
        <v>18</v>
      </c>
    </row>
    <row r="21" spans="1:49">
      <c r="A21">
        <v>2012</v>
      </c>
      <c r="B21" t="s">
        <v>96</v>
      </c>
      <c r="AS21">
        <v>16</v>
      </c>
      <c r="AV21">
        <v>11</v>
      </c>
      <c r="AW21">
        <v>27</v>
      </c>
    </row>
    <row r="22" spans="1:49">
      <c r="A22">
        <v>2012</v>
      </c>
      <c r="B22" t="s">
        <v>106</v>
      </c>
      <c r="U22">
        <v>127</v>
      </c>
    </row>
    <row r="23" spans="1:49">
      <c r="A23">
        <v>2012</v>
      </c>
      <c r="B23" t="s">
        <v>105</v>
      </c>
    </row>
    <row r="24" spans="1:49">
      <c r="A24">
        <v>2013</v>
      </c>
      <c r="B24" t="s">
        <v>94</v>
      </c>
      <c r="C24">
        <v>0</v>
      </c>
      <c r="D24">
        <v>1108</v>
      </c>
      <c r="E24">
        <v>0</v>
      </c>
      <c r="F24">
        <v>1606</v>
      </c>
      <c r="G24">
        <v>0</v>
      </c>
      <c r="H24">
        <v>0</v>
      </c>
      <c r="I24">
        <v>0</v>
      </c>
      <c r="J24">
        <v>0</v>
      </c>
      <c r="K24">
        <v>12836</v>
      </c>
      <c r="L24">
        <v>0</v>
      </c>
      <c r="M24">
        <v>0</v>
      </c>
      <c r="N24">
        <v>616</v>
      </c>
      <c r="O24">
        <v>4628</v>
      </c>
      <c r="P24">
        <v>427</v>
      </c>
      <c r="Q24">
        <v>0</v>
      </c>
      <c r="R24">
        <v>0</v>
      </c>
      <c r="S24">
        <v>5460</v>
      </c>
      <c r="T24">
        <v>0</v>
      </c>
      <c r="U24">
        <v>0</v>
      </c>
      <c r="V24">
        <v>0</v>
      </c>
      <c r="W24">
        <v>0</v>
      </c>
      <c r="X24">
        <v>17493</v>
      </c>
      <c r="Y24">
        <v>0</v>
      </c>
      <c r="Z24">
        <v>0</v>
      </c>
      <c r="AA24">
        <v>7046</v>
      </c>
      <c r="AB24">
        <v>4063</v>
      </c>
      <c r="AC24">
        <v>2904</v>
      </c>
      <c r="AD24">
        <v>0</v>
      </c>
      <c r="AE24">
        <v>4092</v>
      </c>
      <c r="AF24">
        <v>400</v>
      </c>
      <c r="AG24">
        <v>113</v>
      </c>
      <c r="AH24">
        <v>1892</v>
      </c>
      <c r="AI24">
        <v>131518</v>
      </c>
      <c r="AJ24">
        <v>2208</v>
      </c>
      <c r="AK24">
        <v>42</v>
      </c>
      <c r="AL24">
        <v>0</v>
      </c>
      <c r="AM24">
        <v>32</v>
      </c>
      <c r="AN24">
        <v>0</v>
      </c>
      <c r="AO24">
        <v>0</v>
      </c>
      <c r="AP24">
        <v>0</v>
      </c>
      <c r="AQ24">
        <v>1146</v>
      </c>
      <c r="AR24">
        <v>53</v>
      </c>
      <c r="AS24">
        <v>0</v>
      </c>
      <c r="AT24">
        <v>0</v>
      </c>
      <c r="AU24">
        <v>0</v>
      </c>
      <c r="AV24">
        <v>0</v>
      </c>
      <c r="AW24">
        <v>2228</v>
      </c>
    </row>
    <row r="25" spans="1:49">
      <c r="A25">
        <v>2013</v>
      </c>
      <c r="B25" t="s">
        <v>98</v>
      </c>
      <c r="C25">
        <v>0</v>
      </c>
      <c r="D25">
        <v>13146</v>
      </c>
      <c r="E25">
        <v>9760</v>
      </c>
      <c r="F25">
        <v>12392</v>
      </c>
      <c r="G25">
        <v>0</v>
      </c>
      <c r="H25">
        <v>0</v>
      </c>
      <c r="I25">
        <v>17560</v>
      </c>
      <c r="J25">
        <v>0</v>
      </c>
      <c r="K25">
        <v>119626</v>
      </c>
      <c r="L25">
        <v>6578</v>
      </c>
      <c r="M25">
        <v>0</v>
      </c>
      <c r="N25">
        <v>806</v>
      </c>
      <c r="O25">
        <v>0</v>
      </c>
      <c r="P25">
        <v>8524</v>
      </c>
      <c r="Q25">
        <v>0</v>
      </c>
      <c r="R25">
        <v>0</v>
      </c>
      <c r="S25">
        <v>0</v>
      </c>
      <c r="T25">
        <v>0</v>
      </c>
      <c r="U25">
        <v>0</v>
      </c>
      <c r="V25">
        <v>1468</v>
      </c>
      <c r="W25">
        <v>0</v>
      </c>
      <c r="X25">
        <v>80584</v>
      </c>
      <c r="Y25">
        <v>0</v>
      </c>
      <c r="Z25">
        <v>0</v>
      </c>
      <c r="AA25">
        <v>6876</v>
      </c>
      <c r="AB25">
        <v>0</v>
      </c>
      <c r="AC25">
        <v>12864</v>
      </c>
      <c r="AD25">
        <v>0</v>
      </c>
      <c r="AE25">
        <v>7926</v>
      </c>
      <c r="AF25">
        <v>7090</v>
      </c>
      <c r="AG25">
        <v>8220</v>
      </c>
      <c r="AH25">
        <v>6578</v>
      </c>
      <c r="AI25">
        <v>149840</v>
      </c>
      <c r="AJ25">
        <v>0</v>
      </c>
      <c r="AK25">
        <v>0</v>
      </c>
      <c r="AL25">
        <v>12212</v>
      </c>
      <c r="AM25">
        <v>0</v>
      </c>
      <c r="AN25">
        <v>0</v>
      </c>
      <c r="AO25">
        <v>7470</v>
      </c>
      <c r="AP25">
        <v>0</v>
      </c>
      <c r="AQ25">
        <v>7212</v>
      </c>
      <c r="AR25">
        <v>0</v>
      </c>
      <c r="AS25">
        <v>0</v>
      </c>
      <c r="AT25">
        <v>80298</v>
      </c>
      <c r="AU25">
        <v>0</v>
      </c>
      <c r="AV25">
        <v>0</v>
      </c>
      <c r="AW25">
        <v>37444</v>
      </c>
    </row>
    <row r="26" spans="1:49">
      <c r="A26">
        <v>2013</v>
      </c>
      <c r="B26" t="s">
        <v>97</v>
      </c>
      <c r="C26">
        <v>60</v>
      </c>
      <c r="D26">
        <v>70</v>
      </c>
      <c r="E26">
        <v>1886</v>
      </c>
      <c r="F26">
        <v>3182</v>
      </c>
      <c r="G26">
        <v>3002</v>
      </c>
      <c r="H26">
        <v>1028</v>
      </c>
      <c r="I26">
        <v>7702</v>
      </c>
      <c r="J26">
        <v>254</v>
      </c>
      <c r="K26">
        <v>3110</v>
      </c>
      <c r="L26">
        <v>2564</v>
      </c>
      <c r="M26">
        <v>590</v>
      </c>
      <c r="N26">
        <v>0</v>
      </c>
      <c r="O26">
        <v>0</v>
      </c>
      <c r="P26">
        <v>0</v>
      </c>
      <c r="Q26">
        <v>13850</v>
      </c>
      <c r="R26">
        <v>874</v>
      </c>
      <c r="S26">
        <v>22574</v>
      </c>
      <c r="T26">
        <v>1000</v>
      </c>
      <c r="U26">
        <v>518</v>
      </c>
      <c r="V26">
        <v>306</v>
      </c>
      <c r="W26">
        <v>0</v>
      </c>
      <c r="X26">
        <v>0</v>
      </c>
      <c r="Y26">
        <v>1612</v>
      </c>
      <c r="Z26">
        <v>0</v>
      </c>
      <c r="AA26">
        <v>6800</v>
      </c>
      <c r="AB26">
        <v>3922</v>
      </c>
      <c r="AC26">
        <v>8530</v>
      </c>
      <c r="AD26">
        <v>736</v>
      </c>
      <c r="AE26">
        <v>0</v>
      </c>
      <c r="AF26">
        <v>96</v>
      </c>
      <c r="AG26">
        <v>0</v>
      </c>
      <c r="AH26">
        <v>1672</v>
      </c>
      <c r="AI26">
        <v>202550</v>
      </c>
      <c r="AJ26">
        <v>1244</v>
      </c>
      <c r="AK26">
        <v>7892</v>
      </c>
      <c r="AL26">
        <v>4374</v>
      </c>
      <c r="AM26">
        <v>0</v>
      </c>
      <c r="AN26">
        <v>62</v>
      </c>
      <c r="AO26">
        <v>0</v>
      </c>
      <c r="AP26">
        <v>0</v>
      </c>
      <c r="AQ26">
        <v>902</v>
      </c>
      <c r="AR26">
        <v>1590</v>
      </c>
      <c r="AS26">
        <v>0</v>
      </c>
      <c r="AT26">
        <v>14000</v>
      </c>
      <c r="AU26">
        <v>0</v>
      </c>
      <c r="AV26">
        <v>5546</v>
      </c>
      <c r="AW26">
        <v>0</v>
      </c>
    </row>
    <row r="27" spans="1:49">
      <c r="A27">
        <v>2013</v>
      </c>
      <c r="B27" t="s">
        <v>89</v>
      </c>
      <c r="D27">
        <v>4</v>
      </c>
      <c r="X27">
        <v>1045</v>
      </c>
      <c r="AA27">
        <v>111</v>
      </c>
      <c r="AC27">
        <v>136</v>
      </c>
      <c r="AE27">
        <v>351</v>
      </c>
      <c r="AH27">
        <v>30</v>
      </c>
      <c r="AK27">
        <v>54</v>
      </c>
      <c r="AU27">
        <v>5770</v>
      </c>
      <c r="AW27">
        <v>236</v>
      </c>
    </row>
    <row r="28" spans="1:49">
      <c r="A28">
        <v>2013</v>
      </c>
      <c r="B28" t="s">
        <v>87</v>
      </c>
      <c r="AC28">
        <v>238</v>
      </c>
      <c r="AU28">
        <v>4625</v>
      </c>
    </row>
    <row r="29" spans="1:49">
      <c r="A29">
        <v>2013</v>
      </c>
      <c r="B29" t="s">
        <v>88</v>
      </c>
      <c r="AC29">
        <v>44</v>
      </c>
    </row>
    <row r="30" spans="1:49">
      <c r="A30">
        <v>2013</v>
      </c>
      <c r="B30" t="s">
        <v>103</v>
      </c>
      <c r="E30">
        <v>1330</v>
      </c>
      <c r="F30">
        <v>207</v>
      </c>
      <c r="K30">
        <v>283</v>
      </c>
      <c r="X30">
        <v>2202</v>
      </c>
      <c r="AA30">
        <v>17</v>
      </c>
      <c r="AC30">
        <v>103</v>
      </c>
      <c r="AE30">
        <v>460</v>
      </c>
      <c r="AF30">
        <v>170</v>
      </c>
      <c r="AH30">
        <v>51</v>
      </c>
      <c r="AQ30">
        <v>72</v>
      </c>
      <c r="AW30">
        <v>394</v>
      </c>
    </row>
    <row r="31" spans="1:49">
      <c r="A31">
        <v>2013</v>
      </c>
      <c r="B31" t="s">
        <v>102</v>
      </c>
      <c r="E31">
        <v>770</v>
      </c>
      <c r="AC31">
        <v>1388</v>
      </c>
      <c r="AK31">
        <v>371</v>
      </c>
    </row>
    <row r="32" spans="1:49">
      <c r="A32">
        <v>2013</v>
      </c>
      <c r="B32" t="s">
        <v>101</v>
      </c>
      <c r="AK32">
        <v>11</v>
      </c>
      <c r="AU32">
        <v>217</v>
      </c>
    </row>
    <row r="33" spans="1:49">
      <c r="A33">
        <v>2013</v>
      </c>
      <c r="B33" t="s">
        <v>92</v>
      </c>
      <c r="K33">
        <v>2126</v>
      </c>
      <c r="AU33">
        <v>144</v>
      </c>
      <c r="AW33">
        <v>343</v>
      </c>
    </row>
    <row r="34" spans="1:49">
      <c r="A34">
        <v>2013</v>
      </c>
      <c r="B34" t="s">
        <v>95</v>
      </c>
      <c r="E34">
        <v>206</v>
      </c>
      <c r="K34">
        <v>287</v>
      </c>
      <c r="AC34">
        <v>238</v>
      </c>
      <c r="AK34">
        <v>22</v>
      </c>
      <c r="AU34">
        <v>8476</v>
      </c>
      <c r="AW34">
        <v>239</v>
      </c>
    </row>
    <row r="35" spans="1:49">
      <c r="A35">
        <v>2013</v>
      </c>
      <c r="B35" t="s">
        <v>93</v>
      </c>
      <c r="E35">
        <v>830</v>
      </c>
      <c r="S35">
        <v>3987</v>
      </c>
      <c r="AC35">
        <v>1465</v>
      </c>
      <c r="AK35">
        <v>546</v>
      </c>
      <c r="AU35">
        <v>273</v>
      </c>
    </row>
    <row r="36" spans="1:49">
      <c r="A36">
        <v>2013</v>
      </c>
      <c r="B36" t="s">
        <v>90</v>
      </c>
      <c r="S36">
        <v>3639</v>
      </c>
      <c r="AU36">
        <v>3330</v>
      </c>
      <c r="AW36">
        <v>1885</v>
      </c>
    </row>
    <row r="37" spans="1:49">
      <c r="A37">
        <v>2013</v>
      </c>
      <c r="B37" t="s">
        <v>91</v>
      </c>
      <c r="S37">
        <v>1473</v>
      </c>
    </row>
    <row r="38" spans="1:49">
      <c r="A38">
        <v>2013</v>
      </c>
      <c r="B38" t="s">
        <v>86</v>
      </c>
      <c r="S38">
        <v>5293</v>
      </c>
      <c r="AC38">
        <v>1204</v>
      </c>
      <c r="AH38">
        <v>6560</v>
      </c>
    </row>
    <row r="39" spans="1:49">
      <c r="A39">
        <v>2013</v>
      </c>
      <c r="B39" t="s">
        <v>104</v>
      </c>
      <c r="AC39">
        <v>287</v>
      </c>
      <c r="AK39">
        <v>11</v>
      </c>
      <c r="AW39">
        <v>419</v>
      </c>
    </row>
    <row r="40" spans="1:49">
      <c r="A40">
        <v>2013</v>
      </c>
      <c r="B40" t="s">
        <v>99</v>
      </c>
      <c r="K40">
        <v>582</v>
      </c>
      <c r="AW40">
        <v>845</v>
      </c>
    </row>
    <row r="41" spans="1:49">
      <c r="A41">
        <v>2013</v>
      </c>
      <c r="B41" t="s">
        <v>85</v>
      </c>
      <c r="AU41">
        <v>2586</v>
      </c>
    </row>
    <row r="42" spans="1:49">
      <c r="A42">
        <v>2013</v>
      </c>
      <c r="B42" t="s">
        <v>100</v>
      </c>
      <c r="AC42">
        <v>115</v>
      </c>
      <c r="AU42">
        <v>3588</v>
      </c>
    </row>
    <row r="43" spans="1:49">
      <c r="A43">
        <v>2013</v>
      </c>
      <c r="B43" t="s">
        <v>96</v>
      </c>
      <c r="AW43">
        <v>26</v>
      </c>
    </row>
    <row r="44" spans="1:49">
      <c r="A44">
        <v>2013</v>
      </c>
      <c r="B44" t="s">
        <v>106</v>
      </c>
      <c r="S44">
        <v>2636</v>
      </c>
    </row>
    <row r="45" spans="1:49">
      <c r="A45">
        <v>2013</v>
      </c>
      <c r="B45" t="s">
        <v>105</v>
      </c>
    </row>
    <row r="46" spans="1:49">
      <c r="A46">
        <v>2014</v>
      </c>
      <c r="B46" t="s">
        <v>94</v>
      </c>
      <c r="C46">
        <v>0</v>
      </c>
      <c r="D46">
        <v>1218</v>
      </c>
      <c r="E46">
        <v>191</v>
      </c>
      <c r="F46">
        <v>1818</v>
      </c>
      <c r="G46">
        <v>76</v>
      </c>
      <c r="H46">
        <v>17</v>
      </c>
      <c r="I46">
        <v>11036</v>
      </c>
      <c r="J46">
        <v>0</v>
      </c>
      <c r="K46">
        <v>0</v>
      </c>
      <c r="L46">
        <v>0</v>
      </c>
      <c r="M46">
        <v>0</v>
      </c>
      <c r="N46">
        <v>0</v>
      </c>
      <c r="O46">
        <v>612</v>
      </c>
      <c r="P46">
        <v>484</v>
      </c>
      <c r="Q46">
        <v>0</v>
      </c>
      <c r="R46">
        <v>0</v>
      </c>
      <c r="S46">
        <v>6032</v>
      </c>
      <c r="T46">
        <v>3688</v>
      </c>
      <c r="U46">
        <v>0</v>
      </c>
      <c r="V46">
        <v>0</v>
      </c>
      <c r="W46">
        <v>0</v>
      </c>
      <c r="X46">
        <v>18971</v>
      </c>
      <c r="Y46">
        <v>0</v>
      </c>
      <c r="Z46">
        <v>0</v>
      </c>
      <c r="AA46">
        <v>8550</v>
      </c>
      <c r="AB46">
        <v>3576</v>
      </c>
      <c r="AC46">
        <v>0</v>
      </c>
      <c r="AD46">
        <v>1244</v>
      </c>
      <c r="AE46">
        <v>4858</v>
      </c>
      <c r="AF46">
        <v>68</v>
      </c>
      <c r="AG46">
        <v>24</v>
      </c>
      <c r="AH46">
        <v>1119</v>
      </c>
      <c r="AI46">
        <v>2281</v>
      </c>
      <c r="AJ46">
        <v>2098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1216</v>
      </c>
      <c r="AR46">
        <v>0</v>
      </c>
      <c r="AS46">
        <v>6036</v>
      </c>
      <c r="AT46">
        <v>0</v>
      </c>
      <c r="AU46">
        <v>5084</v>
      </c>
      <c r="AV46">
        <v>0</v>
      </c>
      <c r="AW46">
        <v>3561</v>
      </c>
    </row>
    <row r="47" spans="1:49">
      <c r="A47">
        <v>2014</v>
      </c>
      <c r="B47" t="s">
        <v>98</v>
      </c>
      <c r="C47">
        <v>0</v>
      </c>
      <c r="D47">
        <v>13638</v>
      </c>
      <c r="E47">
        <v>0</v>
      </c>
      <c r="F47">
        <v>12716</v>
      </c>
      <c r="G47">
        <v>0</v>
      </c>
      <c r="H47">
        <v>0</v>
      </c>
      <c r="I47">
        <v>17736</v>
      </c>
      <c r="J47">
        <v>0</v>
      </c>
      <c r="K47">
        <v>0</v>
      </c>
      <c r="L47">
        <v>6916</v>
      </c>
      <c r="M47">
        <v>0</v>
      </c>
      <c r="N47">
        <v>952</v>
      </c>
      <c r="O47">
        <v>0</v>
      </c>
      <c r="P47">
        <v>8264</v>
      </c>
      <c r="Q47">
        <v>0</v>
      </c>
      <c r="R47">
        <v>0</v>
      </c>
      <c r="S47">
        <v>74808</v>
      </c>
      <c r="T47">
        <v>11578</v>
      </c>
      <c r="U47">
        <v>0</v>
      </c>
      <c r="V47">
        <v>1899</v>
      </c>
      <c r="W47">
        <v>0</v>
      </c>
      <c r="X47">
        <v>86622</v>
      </c>
      <c r="Y47">
        <v>0</v>
      </c>
      <c r="Z47">
        <v>0</v>
      </c>
      <c r="AA47">
        <v>0</v>
      </c>
      <c r="AB47">
        <v>0</v>
      </c>
      <c r="AC47">
        <v>12696</v>
      </c>
      <c r="AD47">
        <v>7692</v>
      </c>
      <c r="AE47">
        <v>8250</v>
      </c>
      <c r="AF47">
        <v>0</v>
      </c>
      <c r="AG47">
        <v>8424</v>
      </c>
      <c r="AH47">
        <v>9880</v>
      </c>
      <c r="AI47">
        <v>0</v>
      </c>
      <c r="AJ47">
        <v>19250</v>
      </c>
      <c r="AK47">
        <v>0</v>
      </c>
      <c r="AL47">
        <v>12216</v>
      </c>
      <c r="AM47">
        <v>0</v>
      </c>
      <c r="AN47">
        <v>0</v>
      </c>
      <c r="AO47">
        <v>7694</v>
      </c>
      <c r="AP47">
        <v>0</v>
      </c>
      <c r="AQ47">
        <v>7212</v>
      </c>
      <c r="AR47">
        <v>0</v>
      </c>
      <c r="AS47">
        <v>43104</v>
      </c>
      <c r="AT47">
        <v>90776</v>
      </c>
      <c r="AU47">
        <v>0</v>
      </c>
      <c r="AV47">
        <v>0</v>
      </c>
      <c r="AW47">
        <v>44810</v>
      </c>
    </row>
    <row r="48" spans="1:49">
      <c r="A48">
        <v>2014</v>
      </c>
      <c r="B48" t="s">
        <v>97</v>
      </c>
      <c r="C48">
        <v>0</v>
      </c>
      <c r="D48">
        <v>48</v>
      </c>
      <c r="E48">
        <v>0</v>
      </c>
      <c r="F48">
        <v>3488</v>
      </c>
      <c r="G48">
        <v>0</v>
      </c>
      <c r="H48">
        <v>0</v>
      </c>
      <c r="I48">
        <v>10600</v>
      </c>
      <c r="J48">
        <v>0</v>
      </c>
      <c r="K48">
        <v>0</v>
      </c>
      <c r="L48">
        <v>0</v>
      </c>
      <c r="M48">
        <v>0</v>
      </c>
      <c r="N48">
        <v>0</v>
      </c>
      <c r="O48">
        <v>22278</v>
      </c>
      <c r="P48">
        <v>0</v>
      </c>
      <c r="Q48">
        <v>0</v>
      </c>
      <c r="R48">
        <v>0</v>
      </c>
      <c r="S48">
        <v>0</v>
      </c>
      <c r="T48">
        <v>1000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9298</v>
      </c>
      <c r="AD48">
        <v>0</v>
      </c>
      <c r="AE48">
        <v>0</v>
      </c>
      <c r="AF48">
        <v>0</v>
      </c>
      <c r="AG48">
        <v>0</v>
      </c>
      <c r="AH48">
        <v>1918</v>
      </c>
      <c r="AI48">
        <v>0</v>
      </c>
      <c r="AJ48">
        <v>1384</v>
      </c>
      <c r="AK48">
        <v>0</v>
      </c>
      <c r="AL48">
        <v>1170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>
      <c r="A49">
        <v>2014</v>
      </c>
      <c r="B49" t="s">
        <v>89</v>
      </c>
      <c r="I49">
        <v>490</v>
      </c>
      <c r="X49">
        <v>1090</v>
      </c>
      <c r="AE49">
        <v>366</v>
      </c>
      <c r="AG49">
        <v>68</v>
      </c>
      <c r="AH49">
        <v>21</v>
      </c>
      <c r="AS49">
        <v>104</v>
      </c>
      <c r="AU49">
        <v>5817</v>
      </c>
      <c r="AW49">
        <v>107</v>
      </c>
    </row>
    <row r="50" spans="1:49">
      <c r="A50">
        <v>2014</v>
      </c>
      <c r="B50" t="s">
        <v>87</v>
      </c>
      <c r="I50">
        <v>120</v>
      </c>
      <c r="AS50">
        <v>933</v>
      </c>
      <c r="AU50">
        <v>4687</v>
      </c>
      <c r="AW50">
        <v>171</v>
      </c>
    </row>
    <row r="51" spans="1:49">
      <c r="A51">
        <v>2014</v>
      </c>
      <c r="B51" t="s">
        <v>88</v>
      </c>
      <c r="I51">
        <v>190</v>
      </c>
    </row>
    <row r="52" spans="1:49">
      <c r="A52">
        <v>2014</v>
      </c>
      <c r="B52" t="s">
        <v>103</v>
      </c>
      <c r="F52">
        <v>217</v>
      </c>
      <c r="I52">
        <v>2430</v>
      </c>
      <c r="X52">
        <v>2355</v>
      </c>
      <c r="AE52">
        <v>494</v>
      </c>
      <c r="AQ52">
        <v>78</v>
      </c>
      <c r="AS52">
        <v>707</v>
      </c>
      <c r="AU52">
        <v>14994</v>
      </c>
      <c r="AW52">
        <v>193</v>
      </c>
    </row>
    <row r="53" spans="1:49">
      <c r="A53">
        <v>2014</v>
      </c>
      <c r="B53" t="s">
        <v>102</v>
      </c>
      <c r="I53">
        <v>2310</v>
      </c>
      <c r="AS53">
        <v>1132</v>
      </c>
      <c r="AU53">
        <v>17491</v>
      </c>
      <c r="AW53">
        <v>511</v>
      </c>
    </row>
    <row r="54" spans="1:49">
      <c r="A54">
        <v>2014</v>
      </c>
      <c r="B54" t="s">
        <v>101</v>
      </c>
      <c r="AS54">
        <v>10536</v>
      </c>
      <c r="AU54">
        <v>362</v>
      </c>
      <c r="AW54">
        <v>145</v>
      </c>
    </row>
    <row r="55" spans="1:49">
      <c r="A55">
        <v>2014</v>
      </c>
      <c r="B55" t="s">
        <v>92</v>
      </c>
      <c r="I55">
        <v>2380</v>
      </c>
      <c r="AS55">
        <v>93</v>
      </c>
      <c r="AU55">
        <v>145</v>
      </c>
    </row>
    <row r="56" spans="1:49">
      <c r="A56">
        <v>2014</v>
      </c>
      <c r="B56" t="s">
        <v>95</v>
      </c>
      <c r="I56">
        <v>820</v>
      </c>
      <c r="AU56">
        <v>8924</v>
      </c>
      <c r="AW56">
        <v>312</v>
      </c>
    </row>
    <row r="57" spans="1:49">
      <c r="A57">
        <v>2014</v>
      </c>
      <c r="B57" t="s">
        <v>93</v>
      </c>
      <c r="I57">
        <v>1600</v>
      </c>
      <c r="AS57">
        <v>2508</v>
      </c>
      <c r="AU57">
        <v>326</v>
      </c>
      <c r="AW57">
        <v>519</v>
      </c>
    </row>
    <row r="58" spans="1:49">
      <c r="A58">
        <v>2014</v>
      </c>
      <c r="B58" t="s">
        <v>90</v>
      </c>
      <c r="I58">
        <v>790</v>
      </c>
      <c r="AS58">
        <v>1205</v>
      </c>
      <c r="AU58">
        <v>3435</v>
      </c>
      <c r="AW58">
        <v>2052</v>
      </c>
    </row>
    <row r="59" spans="1:49">
      <c r="A59">
        <v>2014</v>
      </c>
      <c r="B59" t="s">
        <v>91</v>
      </c>
      <c r="AS59">
        <v>1119</v>
      </c>
      <c r="AW59">
        <v>2052</v>
      </c>
    </row>
    <row r="60" spans="1:49">
      <c r="A60">
        <v>2014</v>
      </c>
      <c r="B60" t="s">
        <v>86</v>
      </c>
    </row>
    <row r="61" spans="1:49">
      <c r="A61">
        <v>2014</v>
      </c>
      <c r="B61" t="s">
        <v>104</v>
      </c>
      <c r="I61">
        <v>60</v>
      </c>
      <c r="AW61">
        <v>413</v>
      </c>
    </row>
    <row r="62" spans="1:49">
      <c r="A62">
        <v>2014</v>
      </c>
      <c r="B62" t="s">
        <v>99</v>
      </c>
      <c r="I62">
        <v>70</v>
      </c>
      <c r="AW62">
        <v>819</v>
      </c>
    </row>
    <row r="63" spans="1:49">
      <c r="A63">
        <v>2014</v>
      </c>
      <c r="B63" t="s">
        <v>85</v>
      </c>
      <c r="AU63">
        <v>2746</v>
      </c>
    </row>
    <row r="64" spans="1:49">
      <c r="A64">
        <v>2014</v>
      </c>
      <c r="B64" t="s">
        <v>100</v>
      </c>
      <c r="I64">
        <v>70</v>
      </c>
      <c r="AU64">
        <v>3705</v>
      </c>
    </row>
    <row r="65" spans="1:49">
      <c r="A65">
        <v>2014</v>
      </c>
      <c r="B65" t="s">
        <v>96</v>
      </c>
      <c r="AW65">
        <v>26</v>
      </c>
    </row>
    <row r="66" spans="1:49">
      <c r="A66">
        <v>2014</v>
      </c>
      <c r="B66" t="s">
        <v>106</v>
      </c>
    </row>
    <row r="67" spans="1:49">
      <c r="A67">
        <v>2014</v>
      </c>
      <c r="B67" t="s">
        <v>105</v>
      </c>
    </row>
    <row r="68" spans="1:49">
      <c r="A68">
        <v>2015</v>
      </c>
      <c r="B68" t="s">
        <v>94</v>
      </c>
      <c r="C68">
        <v>0</v>
      </c>
      <c r="D68">
        <v>1016</v>
      </c>
      <c r="E68">
        <v>0</v>
      </c>
      <c r="F68">
        <v>2378</v>
      </c>
      <c r="G68">
        <v>0</v>
      </c>
      <c r="H68">
        <v>648</v>
      </c>
      <c r="I68">
        <v>0</v>
      </c>
      <c r="J68">
        <v>0</v>
      </c>
      <c r="K68">
        <v>0</v>
      </c>
      <c r="L68">
        <v>0</v>
      </c>
      <c r="M68">
        <v>0</v>
      </c>
      <c r="N68">
        <v>820</v>
      </c>
      <c r="O68">
        <v>0</v>
      </c>
      <c r="P68">
        <v>497</v>
      </c>
      <c r="Q68">
        <v>0</v>
      </c>
      <c r="R68">
        <v>0</v>
      </c>
      <c r="S68">
        <v>6526</v>
      </c>
      <c r="T68">
        <v>1954</v>
      </c>
      <c r="U68">
        <v>426</v>
      </c>
      <c r="V68">
        <v>708</v>
      </c>
      <c r="W68">
        <v>0</v>
      </c>
      <c r="X68">
        <v>0</v>
      </c>
      <c r="Y68">
        <v>336</v>
      </c>
      <c r="Z68">
        <v>0</v>
      </c>
      <c r="AA68">
        <v>0</v>
      </c>
      <c r="AB68">
        <v>3583</v>
      </c>
      <c r="AC68">
        <v>38</v>
      </c>
      <c r="AD68">
        <v>1384</v>
      </c>
      <c r="AE68">
        <v>5100</v>
      </c>
      <c r="AF68">
        <v>0</v>
      </c>
      <c r="AG68">
        <v>0</v>
      </c>
      <c r="AH68">
        <v>1268</v>
      </c>
      <c r="AI68">
        <v>0</v>
      </c>
      <c r="AJ68">
        <v>2568</v>
      </c>
      <c r="AK68">
        <v>72</v>
      </c>
      <c r="AL68">
        <v>0</v>
      </c>
      <c r="AM68">
        <v>0</v>
      </c>
      <c r="AN68">
        <v>126</v>
      </c>
      <c r="AO68">
        <v>0</v>
      </c>
      <c r="AP68">
        <v>4</v>
      </c>
      <c r="AQ68">
        <v>1392</v>
      </c>
      <c r="AR68">
        <v>722</v>
      </c>
      <c r="AS68">
        <v>0</v>
      </c>
      <c r="AT68">
        <v>7290</v>
      </c>
      <c r="AU68">
        <v>1143</v>
      </c>
      <c r="AV68">
        <v>0</v>
      </c>
      <c r="AW68">
        <v>5462</v>
      </c>
    </row>
    <row r="69" spans="1:49">
      <c r="A69">
        <v>2015</v>
      </c>
      <c r="B69" t="s">
        <v>98</v>
      </c>
      <c r="C69">
        <v>0</v>
      </c>
      <c r="D69">
        <v>13376</v>
      </c>
      <c r="E69">
        <v>0</v>
      </c>
      <c r="F69">
        <v>19496</v>
      </c>
      <c r="G69">
        <v>0</v>
      </c>
      <c r="H69">
        <v>644</v>
      </c>
      <c r="I69">
        <v>21782</v>
      </c>
      <c r="J69">
        <v>0</v>
      </c>
      <c r="K69">
        <v>144540</v>
      </c>
      <c r="L69">
        <v>7704</v>
      </c>
      <c r="M69">
        <v>0</v>
      </c>
      <c r="N69">
        <v>996</v>
      </c>
      <c r="O69">
        <v>0</v>
      </c>
      <c r="P69">
        <v>7924</v>
      </c>
      <c r="Q69">
        <v>0</v>
      </c>
      <c r="R69">
        <v>0</v>
      </c>
      <c r="S69">
        <v>97878</v>
      </c>
      <c r="T69">
        <v>8778</v>
      </c>
      <c r="U69">
        <v>4744</v>
      </c>
      <c r="V69">
        <v>2098</v>
      </c>
      <c r="W69">
        <v>0</v>
      </c>
      <c r="X69">
        <v>82826</v>
      </c>
      <c r="Y69">
        <v>0</v>
      </c>
      <c r="Z69">
        <v>0</v>
      </c>
      <c r="AA69">
        <v>0</v>
      </c>
      <c r="AB69">
        <v>0</v>
      </c>
      <c r="AC69">
        <v>13854</v>
      </c>
      <c r="AD69">
        <v>8274</v>
      </c>
      <c r="AE69">
        <v>8522</v>
      </c>
      <c r="AF69">
        <v>0</v>
      </c>
      <c r="AG69">
        <v>8730</v>
      </c>
      <c r="AH69">
        <v>6506</v>
      </c>
      <c r="AI69">
        <v>0</v>
      </c>
      <c r="AJ69">
        <v>20734</v>
      </c>
      <c r="AK69">
        <v>3364</v>
      </c>
      <c r="AL69">
        <v>11746</v>
      </c>
      <c r="AM69">
        <v>0</v>
      </c>
      <c r="AN69">
        <v>884</v>
      </c>
      <c r="AO69">
        <v>7952</v>
      </c>
      <c r="AP69">
        <v>0</v>
      </c>
      <c r="AQ69">
        <v>7126</v>
      </c>
      <c r="AR69">
        <v>2682</v>
      </c>
      <c r="AS69">
        <v>0</v>
      </c>
      <c r="AT69">
        <v>101362</v>
      </c>
      <c r="AU69">
        <v>0</v>
      </c>
      <c r="AV69">
        <v>0</v>
      </c>
      <c r="AW69">
        <v>41532</v>
      </c>
    </row>
    <row r="70" spans="1:49">
      <c r="A70">
        <v>2015</v>
      </c>
      <c r="B70" t="s">
        <v>97</v>
      </c>
      <c r="C70">
        <v>0</v>
      </c>
      <c r="D70">
        <v>158</v>
      </c>
      <c r="E70">
        <v>0</v>
      </c>
      <c r="F70">
        <v>4766</v>
      </c>
      <c r="G70">
        <v>0</v>
      </c>
      <c r="H70">
        <v>1210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13616</v>
      </c>
      <c r="T70">
        <v>752</v>
      </c>
      <c r="U70">
        <v>1700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10316</v>
      </c>
      <c r="AD70">
        <v>0</v>
      </c>
      <c r="AE70">
        <v>0</v>
      </c>
      <c r="AF70">
        <v>0</v>
      </c>
      <c r="AG70">
        <v>0</v>
      </c>
      <c r="AH70">
        <v>1648</v>
      </c>
      <c r="AI70">
        <v>0</v>
      </c>
      <c r="AJ70">
        <v>1736</v>
      </c>
      <c r="AK70">
        <v>2232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1738</v>
      </c>
      <c r="AS70">
        <v>0</v>
      </c>
      <c r="AT70">
        <v>17630</v>
      </c>
      <c r="AU70">
        <v>0</v>
      </c>
      <c r="AV70">
        <v>0</v>
      </c>
      <c r="AW70">
        <v>0</v>
      </c>
    </row>
    <row r="71" spans="1:49">
      <c r="A71">
        <v>2015</v>
      </c>
      <c r="B71" t="s">
        <v>89</v>
      </c>
      <c r="U71">
        <v>17</v>
      </c>
      <c r="AC71">
        <v>189</v>
      </c>
      <c r="AE71">
        <v>380</v>
      </c>
      <c r="AH71">
        <v>30</v>
      </c>
      <c r="AJ71">
        <v>127</v>
      </c>
      <c r="AR71">
        <v>18</v>
      </c>
      <c r="AT71">
        <v>276</v>
      </c>
      <c r="AU71">
        <v>5985</v>
      </c>
      <c r="AW71">
        <v>66</v>
      </c>
    </row>
    <row r="72" spans="1:49">
      <c r="A72">
        <v>2015</v>
      </c>
      <c r="B72" t="s">
        <v>87</v>
      </c>
      <c r="AC72">
        <v>45</v>
      </c>
      <c r="AU72">
        <v>4785</v>
      </c>
      <c r="AW72">
        <v>261</v>
      </c>
    </row>
    <row r="73" spans="1:49">
      <c r="A73">
        <v>2015</v>
      </c>
      <c r="B73" t="s">
        <v>88</v>
      </c>
      <c r="U73">
        <v>3</v>
      </c>
      <c r="AC73">
        <v>212</v>
      </c>
    </row>
    <row r="74" spans="1:49">
      <c r="A74">
        <v>2015</v>
      </c>
      <c r="B74" t="s">
        <v>103</v>
      </c>
      <c r="F74">
        <v>258</v>
      </c>
      <c r="H74">
        <v>20</v>
      </c>
      <c r="T74">
        <v>142</v>
      </c>
      <c r="U74">
        <v>5</v>
      </c>
      <c r="AC74">
        <v>194</v>
      </c>
      <c r="AE74">
        <v>497</v>
      </c>
      <c r="AH74">
        <v>50</v>
      </c>
      <c r="AI74">
        <v>20035</v>
      </c>
      <c r="AJ74">
        <v>114</v>
      </c>
      <c r="AK74">
        <v>143</v>
      </c>
      <c r="AQ74">
        <v>79</v>
      </c>
      <c r="AR74">
        <v>17</v>
      </c>
      <c r="AT74">
        <v>45</v>
      </c>
      <c r="AU74">
        <v>15784</v>
      </c>
      <c r="AW74">
        <v>141</v>
      </c>
    </row>
    <row r="75" spans="1:49">
      <c r="A75">
        <v>2015</v>
      </c>
      <c r="B75" t="s">
        <v>102</v>
      </c>
      <c r="U75">
        <v>99</v>
      </c>
      <c r="AU75">
        <v>18477</v>
      </c>
      <c r="AW75">
        <v>443</v>
      </c>
    </row>
    <row r="76" spans="1:49">
      <c r="A76">
        <v>2015</v>
      </c>
      <c r="B76" t="s">
        <v>101</v>
      </c>
      <c r="AU76">
        <v>474</v>
      </c>
    </row>
    <row r="77" spans="1:49">
      <c r="A77">
        <v>2015</v>
      </c>
      <c r="B77" t="s">
        <v>92</v>
      </c>
      <c r="U77">
        <v>11</v>
      </c>
      <c r="AR77">
        <v>407</v>
      </c>
      <c r="AU77">
        <v>149</v>
      </c>
    </row>
    <row r="78" spans="1:49">
      <c r="A78">
        <v>2015</v>
      </c>
      <c r="B78" t="s">
        <v>95</v>
      </c>
      <c r="U78">
        <v>32</v>
      </c>
      <c r="AJ78">
        <v>116</v>
      </c>
      <c r="AT78">
        <v>121</v>
      </c>
      <c r="AU78">
        <v>9175</v>
      </c>
      <c r="AW78">
        <v>511</v>
      </c>
    </row>
    <row r="79" spans="1:49">
      <c r="A79">
        <v>2015</v>
      </c>
      <c r="B79" t="s">
        <v>93</v>
      </c>
      <c r="U79">
        <v>141</v>
      </c>
      <c r="AJ79">
        <v>1545</v>
      </c>
      <c r="AT79">
        <v>2447</v>
      </c>
      <c r="AU79">
        <v>453</v>
      </c>
      <c r="AW79">
        <v>644</v>
      </c>
    </row>
    <row r="80" spans="1:49">
      <c r="A80">
        <v>2015</v>
      </c>
      <c r="B80" t="s">
        <v>90</v>
      </c>
      <c r="U80">
        <v>172</v>
      </c>
      <c r="AJ80">
        <v>226</v>
      </c>
      <c r="AT80">
        <v>1925</v>
      </c>
      <c r="AU80">
        <v>3518</v>
      </c>
      <c r="AW80">
        <v>2494</v>
      </c>
    </row>
    <row r="81" spans="1:49">
      <c r="A81">
        <v>2015</v>
      </c>
      <c r="B81" t="s">
        <v>91</v>
      </c>
      <c r="H81">
        <v>85</v>
      </c>
    </row>
    <row r="82" spans="1:49">
      <c r="A82">
        <v>2015</v>
      </c>
      <c r="B82" t="s">
        <v>86</v>
      </c>
      <c r="T82">
        <v>6700</v>
      </c>
      <c r="AK82">
        <v>770</v>
      </c>
      <c r="AT82">
        <v>179175</v>
      </c>
      <c r="AW82">
        <v>11200</v>
      </c>
    </row>
    <row r="83" spans="1:49">
      <c r="A83">
        <v>2015</v>
      </c>
      <c r="B83" t="s">
        <v>104</v>
      </c>
      <c r="U83">
        <v>5</v>
      </c>
      <c r="AJ83">
        <v>125</v>
      </c>
      <c r="AT83">
        <v>114</v>
      </c>
      <c r="AW83">
        <v>472</v>
      </c>
    </row>
    <row r="84" spans="1:49">
      <c r="A84">
        <v>2015</v>
      </c>
      <c r="B84" t="s">
        <v>99</v>
      </c>
      <c r="AJ84">
        <v>207</v>
      </c>
    </row>
    <row r="85" spans="1:49">
      <c r="A85">
        <v>2015</v>
      </c>
      <c r="B85" t="s">
        <v>85</v>
      </c>
      <c r="AU85">
        <v>2913</v>
      </c>
    </row>
    <row r="86" spans="1:49">
      <c r="A86">
        <v>2015</v>
      </c>
      <c r="B86" t="s">
        <v>100</v>
      </c>
      <c r="U86">
        <v>17</v>
      </c>
      <c r="AU86">
        <v>3783</v>
      </c>
    </row>
    <row r="87" spans="1:49">
      <c r="A87">
        <v>2015</v>
      </c>
      <c r="B87" t="s">
        <v>96</v>
      </c>
      <c r="AJ87">
        <v>23</v>
      </c>
      <c r="AT87">
        <v>227</v>
      </c>
    </row>
    <row r="88" spans="1:49">
      <c r="A88">
        <v>2015</v>
      </c>
      <c r="B88" t="s">
        <v>106</v>
      </c>
      <c r="H88">
        <v>83</v>
      </c>
      <c r="AJ88">
        <v>886</v>
      </c>
    </row>
    <row r="89" spans="1:49">
      <c r="A89">
        <v>2015</v>
      </c>
      <c r="B89" t="s">
        <v>105</v>
      </c>
    </row>
    <row r="90" spans="1:49">
      <c r="A90">
        <v>2016</v>
      </c>
      <c r="B90" t="s">
        <v>94</v>
      </c>
      <c r="C90">
        <v>0</v>
      </c>
      <c r="D90">
        <v>0</v>
      </c>
      <c r="E90">
        <v>1046</v>
      </c>
      <c r="F90">
        <v>2404</v>
      </c>
      <c r="G90">
        <v>1671</v>
      </c>
      <c r="H90">
        <v>0</v>
      </c>
      <c r="I90">
        <v>0</v>
      </c>
      <c r="J90">
        <v>0</v>
      </c>
      <c r="K90">
        <v>200</v>
      </c>
      <c r="L90">
        <v>1060</v>
      </c>
      <c r="M90">
        <v>440</v>
      </c>
      <c r="N90">
        <v>816</v>
      </c>
      <c r="O90">
        <v>148618</v>
      </c>
      <c r="P90">
        <v>537</v>
      </c>
      <c r="Q90">
        <v>296</v>
      </c>
      <c r="R90">
        <v>1430</v>
      </c>
      <c r="S90">
        <v>7236</v>
      </c>
      <c r="T90">
        <v>1954</v>
      </c>
      <c r="U90">
        <v>1</v>
      </c>
      <c r="V90">
        <v>388</v>
      </c>
      <c r="W90">
        <v>0</v>
      </c>
      <c r="X90">
        <v>380</v>
      </c>
      <c r="Y90">
        <v>468</v>
      </c>
      <c r="Z90">
        <v>0</v>
      </c>
      <c r="AA90">
        <v>35</v>
      </c>
      <c r="AB90">
        <v>4570</v>
      </c>
      <c r="AC90">
        <v>57</v>
      </c>
      <c r="AD90">
        <v>0</v>
      </c>
      <c r="AE90">
        <v>5538</v>
      </c>
      <c r="AF90">
        <v>1093</v>
      </c>
      <c r="AG90">
        <v>0</v>
      </c>
      <c r="AH90">
        <v>1362</v>
      </c>
      <c r="AI90">
        <v>167130</v>
      </c>
      <c r="AJ90">
        <v>2918</v>
      </c>
      <c r="AK90">
        <v>3195</v>
      </c>
      <c r="AL90">
        <v>0</v>
      </c>
      <c r="AM90">
        <v>0</v>
      </c>
      <c r="AN90">
        <v>0</v>
      </c>
      <c r="AO90">
        <v>220</v>
      </c>
      <c r="AP90">
        <v>410</v>
      </c>
      <c r="AQ90">
        <v>1080</v>
      </c>
      <c r="AR90">
        <v>964</v>
      </c>
      <c r="AS90">
        <v>67</v>
      </c>
      <c r="AT90">
        <v>42</v>
      </c>
      <c r="AU90">
        <v>87529</v>
      </c>
      <c r="AV90">
        <v>3074</v>
      </c>
      <c r="AW90">
        <v>5458</v>
      </c>
    </row>
    <row r="91" spans="1:49">
      <c r="A91">
        <v>2016</v>
      </c>
      <c r="B91" t="s">
        <v>98</v>
      </c>
      <c r="C91">
        <v>0</v>
      </c>
      <c r="D91">
        <v>0</v>
      </c>
      <c r="E91">
        <v>14448</v>
      </c>
      <c r="F91">
        <v>19402</v>
      </c>
      <c r="G91">
        <v>14854</v>
      </c>
      <c r="H91">
        <v>0</v>
      </c>
      <c r="I91">
        <v>24264</v>
      </c>
      <c r="J91">
        <v>0</v>
      </c>
      <c r="K91">
        <v>89794</v>
      </c>
      <c r="L91">
        <v>7434</v>
      </c>
      <c r="M91">
        <v>0</v>
      </c>
      <c r="N91">
        <v>1224</v>
      </c>
      <c r="O91">
        <v>181916</v>
      </c>
      <c r="P91">
        <v>8968</v>
      </c>
      <c r="Q91">
        <v>0</v>
      </c>
      <c r="R91">
        <v>9192</v>
      </c>
      <c r="S91">
        <v>105210</v>
      </c>
      <c r="T91">
        <v>2020</v>
      </c>
      <c r="U91">
        <v>0</v>
      </c>
      <c r="V91">
        <v>2006</v>
      </c>
      <c r="W91">
        <v>0</v>
      </c>
      <c r="X91">
        <v>97474</v>
      </c>
      <c r="Y91">
        <v>0</v>
      </c>
      <c r="Z91">
        <v>0</v>
      </c>
      <c r="AA91">
        <v>0</v>
      </c>
      <c r="AB91">
        <v>9530</v>
      </c>
      <c r="AC91">
        <v>15320</v>
      </c>
      <c r="AD91">
        <v>0</v>
      </c>
      <c r="AE91">
        <v>8268</v>
      </c>
      <c r="AF91">
        <v>9146</v>
      </c>
      <c r="AG91">
        <v>9632</v>
      </c>
      <c r="AH91">
        <v>9492</v>
      </c>
      <c r="AI91">
        <v>370202</v>
      </c>
      <c r="AJ91">
        <v>22562</v>
      </c>
      <c r="AK91">
        <v>4980</v>
      </c>
      <c r="AL91">
        <v>10320</v>
      </c>
      <c r="AM91">
        <v>0</v>
      </c>
      <c r="AN91">
        <v>0</v>
      </c>
      <c r="AO91">
        <v>8400</v>
      </c>
      <c r="AP91">
        <v>1368</v>
      </c>
      <c r="AQ91">
        <v>6212</v>
      </c>
      <c r="AR91">
        <v>2838</v>
      </c>
      <c r="AS91">
        <v>0</v>
      </c>
      <c r="AT91">
        <v>110456</v>
      </c>
      <c r="AU91">
        <v>0</v>
      </c>
      <c r="AV91">
        <v>0</v>
      </c>
      <c r="AW91">
        <v>42747</v>
      </c>
    </row>
    <row r="92" spans="1:49">
      <c r="A92">
        <v>2016</v>
      </c>
      <c r="B92" t="s">
        <v>97</v>
      </c>
      <c r="C92">
        <v>0</v>
      </c>
      <c r="D92">
        <v>0</v>
      </c>
      <c r="E92">
        <v>2068</v>
      </c>
      <c r="F92">
        <v>5160</v>
      </c>
      <c r="G92">
        <v>2922</v>
      </c>
      <c r="H92">
        <v>0</v>
      </c>
      <c r="I92">
        <v>0</v>
      </c>
      <c r="J92">
        <v>0</v>
      </c>
      <c r="K92">
        <v>3586</v>
      </c>
      <c r="L92">
        <v>1842</v>
      </c>
      <c r="M92">
        <v>1000</v>
      </c>
      <c r="N92">
        <v>0</v>
      </c>
      <c r="O92">
        <v>0</v>
      </c>
      <c r="P92">
        <v>752</v>
      </c>
      <c r="Q92">
        <v>24138</v>
      </c>
      <c r="R92">
        <v>1026</v>
      </c>
      <c r="S92">
        <v>15324</v>
      </c>
      <c r="T92">
        <v>886</v>
      </c>
      <c r="U92">
        <v>0</v>
      </c>
      <c r="V92">
        <v>250</v>
      </c>
      <c r="W92">
        <v>0</v>
      </c>
      <c r="X92">
        <v>4184</v>
      </c>
      <c r="Y92">
        <v>0</v>
      </c>
      <c r="Z92">
        <v>0</v>
      </c>
      <c r="AA92">
        <v>3166</v>
      </c>
      <c r="AB92">
        <v>5314</v>
      </c>
      <c r="AC92">
        <v>11410</v>
      </c>
      <c r="AD92">
        <v>0</v>
      </c>
      <c r="AE92">
        <v>0</v>
      </c>
      <c r="AF92">
        <v>1136</v>
      </c>
      <c r="AG92">
        <v>0</v>
      </c>
      <c r="AH92">
        <v>1712</v>
      </c>
      <c r="AI92">
        <v>282550</v>
      </c>
      <c r="AJ92">
        <v>2140</v>
      </c>
      <c r="AK92">
        <v>4004</v>
      </c>
      <c r="AL92">
        <v>626</v>
      </c>
      <c r="AM92">
        <v>0</v>
      </c>
      <c r="AN92">
        <v>0</v>
      </c>
      <c r="AO92">
        <v>0</v>
      </c>
      <c r="AP92">
        <v>178</v>
      </c>
      <c r="AQ92">
        <v>0</v>
      </c>
      <c r="AR92">
        <v>1922</v>
      </c>
      <c r="AS92">
        <v>0</v>
      </c>
      <c r="AT92">
        <v>19604</v>
      </c>
      <c r="AU92">
        <v>2568</v>
      </c>
      <c r="AV92">
        <v>6666</v>
      </c>
      <c r="AW92">
        <v>0</v>
      </c>
    </row>
    <row r="93" spans="1:49">
      <c r="A93">
        <v>2016</v>
      </c>
      <c r="B93" t="s">
        <v>89</v>
      </c>
      <c r="E93">
        <v>9</v>
      </c>
      <c r="G93">
        <v>91</v>
      </c>
      <c r="J93">
        <v>88</v>
      </c>
      <c r="K93">
        <v>147</v>
      </c>
      <c r="L93">
        <v>27</v>
      </c>
      <c r="N93">
        <v>4</v>
      </c>
      <c r="S93">
        <v>400</v>
      </c>
      <c r="T93">
        <v>50</v>
      </c>
      <c r="V93">
        <v>7</v>
      </c>
      <c r="AB93">
        <v>107</v>
      </c>
      <c r="AE93">
        <v>385</v>
      </c>
      <c r="AH93">
        <v>18</v>
      </c>
      <c r="AI93">
        <v>4081</v>
      </c>
      <c r="AK93">
        <v>121</v>
      </c>
      <c r="AL93">
        <v>53</v>
      </c>
      <c r="AP93">
        <v>34</v>
      </c>
      <c r="AU93">
        <v>6158</v>
      </c>
      <c r="AV93">
        <v>312</v>
      </c>
      <c r="AW93">
        <v>136</v>
      </c>
    </row>
    <row r="94" spans="1:49">
      <c r="A94">
        <v>2016</v>
      </c>
      <c r="B94" t="s">
        <v>87</v>
      </c>
      <c r="S94">
        <v>516</v>
      </c>
      <c r="V94">
        <v>8</v>
      </c>
      <c r="AU94">
        <v>5484</v>
      </c>
      <c r="AW94">
        <v>157</v>
      </c>
    </row>
    <row r="95" spans="1:49">
      <c r="A95">
        <v>2016</v>
      </c>
      <c r="B95" t="s">
        <v>88</v>
      </c>
      <c r="R95">
        <v>33</v>
      </c>
      <c r="S95">
        <v>30</v>
      </c>
      <c r="V95">
        <v>4</v>
      </c>
      <c r="AK95">
        <v>57</v>
      </c>
      <c r="AR95">
        <v>2</v>
      </c>
    </row>
    <row r="96" spans="1:49">
      <c r="A96">
        <v>2016</v>
      </c>
      <c r="B96" t="s">
        <v>103</v>
      </c>
      <c r="E96">
        <v>13</v>
      </c>
      <c r="F96">
        <v>235</v>
      </c>
      <c r="J96">
        <v>199</v>
      </c>
      <c r="K96">
        <v>404</v>
      </c>
      <c r="L96">
        <v>73</v>
      </c>
      <c r="N96">
        <v>4</v>
      </c>
      <c r="R96">
        <v>46</v>
      </c>
      <c r="S96">
        <v>570</v>
      </c>
      <c r="T96">
        <v>107</v>
      </c>
      <c r="V96">
        <v>5</v>
      </c>
      <c r="AA96">
        <v>4</v>
      </c>
      <c r="AB96">
        <v>194</v>
      </c>
      <c r="AE96">
        <v>514</v>
      </c>
      <c r="AH96">
        <v>24</v>
      </c>
      <c r="AK96">
        <v>170</v>
      </c>
      <c r="AL96">
        <v>82</v>
      </c>
      <c r="AP96">
        <v>45</v>
      </c>
      <c r="AR96">
        <v>13</v>
      </c>
      <c r="AU96">
        <v>15267</v>
      </c>
      <c r="AV96">
        <v>1159</v>
      </c>
      <c r="AW96">
        <v>219</v>
      </c>
    </row>
    <row r="97" spans="1:49">
      <c r="A97">
        <v>2016</v>
      </c>
      <c r="B97" t="s">
        <v>102</v>
      </c>
      <c r="R97">
        <v>72</v>
      </c>
      <c r="V97">
        <v>35</v>
      </c>
      <c r="AF97">
        <v>218</v>
      </c>
      <c r="AP97">
        <v>64</v>
      </c>
      <c r="AR97">
        <v>1</v>
      </c>
      <c r="AU97">
        <v>21713</v>
      </c>
      <c r="AW97">
        <v>540</v>
      </c>
    </row>
    <row r="98" spans="1:49">
      <c r="A98">
        <v>2016</v>
      </c>
      <c r="B98" t="s">
        <v>101</v>
      </c>
      <c r="V98">
        <v>11</v>
      </c>
      <c r="AF98">
        <v>1159</v>
      </c>
      <c r="AR98">
        <v>638</v>
      </c>
      <c r="AV98">
        <v>1814</v>
      </c>
      <c r="AW98">
        <v>130</v>
      </c>
    </row>
    <row r="99" spans="1:49">
      <c r="A99">
        <v>2016</v>
      </c>
      <c r="B99" t="s">
        <v>92</v>
      </c>
      <c r="V99">
        <v>158</v>
      </c>
      <c r="AR99">
        <v>276</v>
      </c>
      <c r="AU99">
        <v>4802</v>
      </c>
      <c r="AV99">
        <v>921</v>
      </c>
    </row>
    <row r="100" spans="1:49">
      <c r="A100">
        <v>2016</v>
      </c>
      <c r="B100" t="s">
        <v>95</v>
      </c>
      <c r="E100">
        <v>234</v>
      </c>
      <c r="R100">
        <v>66</v>
      </c>
      <c r="T100">
        <v>8</v>
      </c>
      <c r="AK100">
        <v>78</v>
      </c>
      <c r="AR100">
        <v>112</v>
      </c>
      <c r="AU100">
        <v>8484</v>
      </c>
      <c r="AV100">
        <v>419</v>
      </c>
      <c r="AW100">
        <v>320</v>
      </c>
    </row>
    <row r="101" spans="1:49">
      <c r="A101">
        <v>2016</v>
      </c>
      <c r="B101" t="s">
        <v>93</v>
      </c>
      <c r="E101">
        <v>1166</v>
      </c>
      <c r="R101">
        <v>287</v>
      </c>
      <c r="T101">
        <v>209</v>
      </c>
      <c r="V101">
        <v>16</v>
      </c>
      <c r="AF101">
        <v>397</v>
      </c>
      <c r="AK101">
        <v>37</v>
      </c>
      <c r="AR101">
        <v>129</v>
      </c>
      <c r="AU101">
        <v>5377</v>
      </c>
      <c r="AW101">
        <v>600</v>
      </c>
    </row>
    <row r="102" spans="1:49">
      <c r="A102">
        <v>2016</v>
      </c>
      <c r="B102" t="s">
        <v>90</v>
      </c>
      <c r="E102">
        <v>254</v>
      </c>
      <c r="R102">
        <v>174</v>
      </c>
      <c r="AK102">
        <v>146</v>
      </c>
      <c r="AR102">
        <v>293</v>
      </c>
      <c r="AU102">
        <v>3642</v>
      </c>
      <c r="AV102">
        <v>1796</v>
      </c>
      <c r="AW102">
        <v>1843</v>
      </c>
    </row>
    <row r="103" spans="1:49">
      <c r="A103">
        <v>2016</v>
      </c>
      <c r="B103" t="s">
        <v>91</v>
      </c>
      <c r="AR103">
        <v>18</v>
      </c>
    </row>
    <row r="104" spans="1:49">
      <c r="A104">
        <v>2016</v>
      </c>
      <c r="B104" t="s">
        <v>86</v>
      </c>
      <c r="T104">
        <v>6700</v>
      </c>
      <c r="AK104">
        <v>5</v>
      </c>
      <c r="AL104">
        <v>14622</v>
      </c>
    </row>
    <row r="105" spans="1:49">
      <c r="A105">
        <v>2016</v>
      </c>
      <c r="B105" t="s">
        <v>104</v>
      </c>
      <c r="AR105">
        <v>152</v>
      </c>
      <c r="AU105">
        <v>7199</v>
      </c>
      <c r="AW105">
        <v>432</v>
      </c>
    </row>
    <row r="106" spans="1:49">
      <c r="A106">
        <v>2016</v>
      </c>
      <c r="B106" t="s">
        <v>99</v>
      </c>
      <c r="V106">
        <v>5</v>
      </c>
      <c r="AR106">
        <v>1</v>
      </c>
      <c r="AU106">
        <v>197</v>
      </c>
      <c r="AV106">
        <v>202</v>
      </c>
      <c r="AW106">
        <v>58</v>
      </c>
    </row>
    <row r="107" spans="1:49">
      <c r="A107">
        <v>2016</v>
      </c>
      <c r="B107" t="s">
        <v>85</v>
      </c>
      <c r="AR107">
        <v>9</v>
      </c>
      <c r="AU107">
        <v>3140</v>
      </c>
    </row>
    <row r="108" spans="1:49">
      <c r="A108">
        <v>2016</v>
      </c>
      <c r="B108" t="s">
        <v>100</v>
      </c>
      <c r="AR108">
        <v>2</v>
      </c>
      <c r="AU108">
        <v>3725</v>
      </c>
      <c r="AW108">
        <v>13</v>
      </c>
    </row>
    <row r="109" spans="1:49">
      <c r="A109">
        <v>2016</v>
      </c>
      <c r="B109" t="s">
        <v>96</v>
      </c>
      <c r="AR109">
        <v>48</v>
      </c>
      <c r="AW109">
        <v>17</v>
      </c>
    </row>
    <row r="110" spans="1:49">
      <c r="A110">
        <v>2016</v>
      </c>
      <c r="B110" t="s">
        <v>106</v>
      </c>
      <c r="AR110">
        <v>14</v>
      </c>
    </row>
    <row r="111" spans="1:49">
      <c r="A111">
        <v>2016</v>
      </c>
      <c r="B111" t="s">
        <v>105</v>
      </c>
      <c r="L111">
        <v>67</v>
      </c>
      <c r="AR111">
        <v>33</v>
      </c>
      <c r="AU111">
        <v>8190</v>
      </c>
    </row>
    <row r="112" spans="1:49">
      <c r="A112">
        <v>2017</v>
      </c>
      <c r="B112" t="s">
        <v>94</v>
      </c>
      <c r="C112">
        <v>12800</v>
      </c>
      <c r="D112">
        <v>0</v>
      </c>
      <c r="E112">
        <v>0</v>
      </c>
      <c r="F112">
        <v>3990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529</v>
      </c>
      <c r="Q112">
        <v>0</v>
      </c>
      <c r="R112">
        <v>3543</v>
      </c>
      <c r="S112">
        <v>5358</v>
      </c>
      <c r="T112">
        <v>0</v>
      </c>
      <c r="U112">
        <v>464</v>
      </c>
      <c r="V112">
        <v>0</v>
      </c>
      <c r="W112">
        <v>1014</v>
      </c>
      <c r="X112">
        <v>0</v>
      </c>
      <c r="Y112">
        <v>496</v>
      </c>
      <c r="Z112">
        <v>0</v>
      </c>
      <c r="AA112">
        <v>0</v>
      </c>
      <c r="AB112">
        <v>4576</v>
      </c>
      <c r="AC112">
        <v>4985</v>
      </c>
      <c r="AD112">
        <v>1582</v>
      </c>
      <c r="AE112">
        <v>5854</v>
      </c>
      <c r="AF112">
        <v>11</v>
      </c>
      <c r="AG112">
        <v>2842</v>
      </c>
      <c r="AH112">
        <v>950</v>
      </c>
      <c r="AI112">
        <v>0</v>
      </c>
      <c r="AJ112">
        <v>3830</v>
      </c>
      <c r="AK112">
        <v>2132</v>
      </c>
      <c r="AL112">
        <v>0</v>
      </c>
      <c r="AM112">
        <v>1</v>
      </c>
      <c r="AN112">
        <v>0</v>
      </c>
      <c r="AO112">
        <v>425</v>
      </c>
      <c r="AP112">
        <v>39</v>
      </c>
      <c r="AQ112">
        <v>1302</v>
      </c>
      <c r="AR112">
        <v>1490</v>
      </c>
      <c r="AS112">
        <v>0</v>
      </c>
      <c r="AT112">
        <v>13836</v>
      </c>
      <c r="AU112">
        <v>89306</v>
      </c>
      <c r="AV112">
        <v>0</v>
      </c>
      <c r="AW112">
        <v>5734</v>
      </c>
    </row>
    <row r="113" spans="1:49">
      <c r="A113">
        <v>2017</v>
      </c>
      <c r="B113" t="s">
        <v>98</v>
      </c>
      <c r="C113">
        <v>0</v>
      </c>
      <c r="D113">
        <v>18142</v>
      </c>
      <c r="E113">
        <v>0</v>
      </c>
      <c r="F113">
        <v>20752</v>
      </c>
      <c r="G113">
        <v>0</v>
      </c>
      <c r="H113">
        <v>0</v>
      </c>
      <c r="I113">
        <v>27166</v>
      </c>
      <c r="J113">
        <v>0</v>
      </c>
      <c r="K113">
        <v>146092</v>
      </c>
      <c r="L113">
        <v>0</v>
      </c>
      <c r="M113">
        <v>0</v>
      </c>
      <c r="N113">
        <v>1376</v>
      </c>
      <c r="O113">
        <v>184000</v>
      </c>
      <c r="P113">
        <v>9056</v>
      </c>
      <c r="Q113">
        <v>176328</v>
      </c>
      <c r="R113">
        <v>10700</v>
      </c>
      <c r="S113">
        <v>117216</v>
      </c>
      <c r="T113">
        <v>0</v>
      </c>
      <c r="U113">
        <v>2648</v>
      </c>
      <c r="V113">
        <v>0</v>
      </c>
      <c r="W113">
        <v>1268</v>
      </c>
      <c r="X113">
        <v>106336</v>
      </c>
      <c r="Y113">
        <v>0</v>
      </c>
      <c r="Z113">
        <v>0</v>
      </c>
      <c r="AA113">
        <v>0</v>
      </c>
      <c r="AB113">
        <v>0</v>
      </c>
      <c r="AC113">
        <v>15922</v>
      </c>
      <c r="AD113">
        <v>9142</v>
      </c>
      <c r="AE113">
        <v>8890</v>
      </c>
      <c r="AF113">
        <v>0</v>
      </c>
      <c r="AG113">
        <v>9706</v>
      </c>
      <c r="AH113">
        <v>0</v>
      </c>
      <c r="AI113">
        <v>0</v>
      </c>
      <c r="AJ113">
        <v>1290</v>
      </c>
      <c r="AK113">
        <v>5640</v>
      </c>
      <c r="AL113">
        <v>11960</v>
      </c>
      <c r="AM113">
        <v>0</v>
      </c>
      <c r="AN113">
        <v>0</v>
      </c>
      <c r="AO113">
        <v>8862</v>
      </c>
      <c r="AP113">
        <v>0</v>
      </c>
      <c r="AQ113">
        <v>6974</v>
      </c>
      <c r="AR113">
        <v>3932</v>
      </c>
      <c r="AS113">
        <v>63880</v>
      </c>
      <c r="AT113">
        <v>120912</v>
      </c>
      <c r="AU113">
        <v>0</v>
      </c>
      <c r="AV113">
        <v>31382</v>
      </c>
      <c r="AW113">
        <v>59965</v>
      </c>
    </row>
    <row r="114" spans="1:49">
      <c r="A114">
        <v>2017</v>
      </c>
      <c r="B114" t="s">
        <v>97</v>
      </c>
      <c r="C114">
        <v>0</v>
      </c>
      <c r="D114">
        <v>320</v>
      </c>
      <c r="E114">
        <v>0</v>
      </c>
      <c r="F114">
        <v>13138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1466</v>
      </c>
      <c r="S114">
        <v>19108</v>
      </c>
      <c r="T114">
        <v>0</v>
      </c>
      <c r="U114">
        <v>844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5862</v>
      </c>
      <c r="AB114">
        <v>0</v>
      </c>
      <c r="AC114">
        <v>11640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4288</v>
      </c>
      <c r="AK114">
        <v>4004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2536</v>
      </c>
      <c r="AS114">
        <v>0</v>
      </c>
      <c r="AT114">
        <v>0</v>
      </c>
      <c r="AU114">
        <v>0</v>
      </c>
      <c r="AV114">
        <v>0</v>
      </c>
      <c r="AW114">
        <v>17612</v>
      </c>
    </row>
    <row r="115" spans="1:49">
      <c r="A115">
        <v>2017</v>
      </c>
      <c r="B115" t="s">
        <v>89</v>
      </c>
      <c r="E115">
        <v>73</v>
      </c>
      <c r="F115">
        <v>80</v>
      </c>
      <c r="O115">
        <v>14263</v>
      </c>
      <c r="R115">
        <v>37</v>
      </c>
      <c r="AC115">
        <v>217</v>
      </c>
      <c r="AE115">
        <v>401</v>
      </c>
      <c r="AJ115">
        <v>236</v>
      </c>
      <c r="AK115">
        <v>121</v>
      </c>
      <c r="AR115">
        <v>57</v>
      </c>
      <c r="AU115">
        <v>6314</v>
      </c>
      <c r="AW115">
        <v>109</v>
      </c>
    </row>
    <row r="116" spans="1:49">
      <c r="A116">
        <v>2017</v>
      </c>
      <c r="B116" t="s">
        <v>87</v>
      </c>
      <c r="E116">
        <v>33</v>
      </c>
      <c r="R116">
        <v>3</v>
      </c>
      <c r="S116">
        <v>46</v>
      </c>
      <c r="AB116">
        <v>53</v>
      </c>
      <c r="AC116">
        <v>319</v>
      </c>
      <c r="AK116">
        <v>57</v>
      </c>
      <c r="AU116">
        <v>6948</v>
      </c>
      <c r="AW116">
        <v>276</v>
      </c>
    </row>
    <row r="117" spans="1:49">
      <c r="A117">
        <v>2017</v>
      </c>
      <c r="B117" t="s">
        <v>88</v>
      </c>
      <c r="E117">
        <v>15</v>
      </c>
      <c r="O117">
        <v>521</v>
      </c>
      <c r="R117">
        <v>46</v>
      </c>
      <c r="S117">
        <v>167</v>
      </c>
      <c r="AR117">
        <v>6</v>
      </c>
      <c r="AU117">
        <v>3330</v>
      </c>
    </row>
    <row r="118" spans="1:49">
      <c r="A118">
        <v>2017</v>
      </c>
      <c r="B118" t="s">
        <v>103</v>
      </c>
      <c r="F118">
        <v>284</v>
      </c>
      <c r="R118">
        <v>121</v>
      </c>
      <c r="S118">
        <v>718</v>
      </c>
      <c r="AC118">
        <v>255</v>
      </c>
      <c r="AE118">
        <v>531</v>
      </c>
      <c r="AJ118">
        <v>879</v>
      </c>
      <c r="AK118">
        <v>170</v>
      </c>
      <c r="AQ118">
        <v>71</v>
      </c>
      <c r="AR118">
        <v>218</v>
      </c>
      <c r="AW118">
        <v>272</v>
      </c>
    </row>
    <row r="119" spans="1:49">
      <c r="A119">
        <v>2017</v>
      </c>
      <c r="B119" t="s">
        <v>102</v>
      </c>
      <c r="F119">
        <v>156</v>
      </c>
      <c r="R119">
        <v>106</v>
      </c>
      <c r="S119">
        <v>821</v>
      </c>
      <c r="U119">
        <v>74</v>
      </c>
      <c r="AC119">
        <v>2055</v>
      </c>
      <c r="AJ119">
        <v>201</v>
      </c>
      <c r="AR119">
        <v>3</v>
      </c>
      <c r="AU119">
        <v>11741</v>
      </c>
      <c r="AW119">
        <v>726</v>
      </c>
    </row>
    <row r="120" spans="1:49">
      <c r="A120">
        <v>2017</v>
      </c>
      <c r="B120" t="s">
        <v>101</v>
      </c>
      <c r="R120">
        <v>58</v>
      </c>
      <c r="AC120">
        <v>6281</v>
      </c>
      <c r="AR120">
        <v>945</v>
      </c>
      <c r="AU120">
        <v>8919</v>
      </c>
      <c r="AW120">
        <v>174</v>
      </c>
    </row>
    <row r="121" spans="1:49">
      <c r="A121">
        <v>2017</v>
      </c>
      <c r="B121" t="s">
        <v>92</v>
      </c>
      <c r="D121">
        <v>1073</v>
      </c>
      <c r="F121">
        <v>699</v>
      </c>
      <c r="AK121">
        <v>37</v>
      </c>
      <c r="AR121">
        <v>454</v>
      </c>
      <c r="AU121">
        <v>5267</v>
      </c>
    </row>
    <row r="122" spans="1:49">
      <c r="A122">
        <v>2017</v>
      </c>
      <c r="B122" t="s">
        <v>95</v>
      </c>
      <c r="R122">
        <v>93</v>
      </c>
      <c r="AC122">
        <v>290</v>
      </c>
      <c r="AR122">
        <v>151</v>
      </c>
      <c r="AU122">
        <v>8681</v>
      </c>
      <c r="AW122">
        <v>417</v>
      </c>
    </row>
    <row r="123" spans="1:49">
      <c r="A123">
        <v>2017</v>
      </c>
      <c r="B123" t="s">
        <v>93</v>
      </c>
      <c r="R123">
        <v>442</v>
      </c>
      <c r="AC123">
        <v>1958</v>
      </c>
      <c r="AJ123">
        <v>1990</v>
      </c>
      <c r="AR123">
        <v>201</v>
      </c>
      <c r="AU123">
        <v>5525</v>
      </c>
      <c r="AW123">
        <v>781</v>
      </c>
    </row>
    <row r="124" spans="1:49">
      <c r="A124">
        <v>2017</v>
      </c>
      <c r="B124" t="s">
        <v>90</v>
      </c>
      <c r="D124">
        <v>363</v>
      </c>
      <c r="F124">
        <v>160</v>
      </c>
      <c r="AJ124">
        <v>201</v>
      </c>
      <c r="AK124">
        <v>146</v>
      </c>
      <c r="AR124">
        <v>309</v>
      </c>
      <c r="AU124">
        <v>3730</v>
      </c>
      <c r="AW124">
        <v>2036</v>
      </c>
    </row>
    <row r="125" spans="1:49">
      <c r="A125">
        <v>2017</v>
      </c>
      <c r="B125" t="s">
        <v>91</v>
      </c>
      <c r="AR125">
        <v>35</v>
      </c>
    </row>
    <row r="126" spans="1:49">
      <c r="A126">
        <v>2017</v>
      </c>
      <c r="B126" t="s">
        <v>86</v>
      </c>
      <c r="F126">
        <v>2749</v>
      </c>
      <c r="S126">
        <v>15456</v>
      </c>
      <c r="AC126">
        <v>1991</v>
      </c>
      <c r="AK126">
        <v>5</v>
      </c>
      <c r="AR126">
        <v>7545</v>
      </c>
      <c r="AW126">
        <v>15000</v>
      </c>
    </row>
    <row r="127" spans="1:49">
      <c r="A127">
        <v>2017</v>
      </c>
      <c r="B127" t="s">
        <v>104</v>
      </c>
      <c r="F127">
        <v>18</v>
      </c>
      <c r="R127">
        <v>43</v>
      </c>
      <c r="S127">
        <v>324</v>
      </c>
      <c r="AC127">
        <v>52</v>
      </c>
      <c r="AJ127">
        <v>182</v>
      </c>
      <c r="AR127">
        <v>174</v>
      </c>
      <c r="AU127">
        <v>7476</v>
      </c>
      <c r="AW127">
        <v>503</v>
      </c>
    </row>
    <row r="128" spans="1:49">
      <c r="A128">
        <v>2017</v>
      </c>
      <c r="B128" t="s">
        <v>99</v>
      </c>
      <c r="F128">
        <v>19</v>
      </c>
      <c r="R128">
        <v>4</v>
      </c>
      <c r="S128">
        <v>462</v>
      </c>
      <c r="AC128">
        <v>211</v>
      </c>
      <c r="AR128">
        <v>7</v>
      </c>
      <c r="AU128">
        <v>219</v>
      </c>
    </row>
    <row r="129" spans="1:49">
      <c r="A129">
        <v>2017</v>
      </c>
      <c r="B129" t="s">
        <v>85</v>
      </c>
      <c r="R129">
        <v>2</v>
      </c>
      <c r="AC129">
        <v>2</v>
      </c>
      <c r="AR129">
        <v>21</v>
      </c>
      <c r="AU129">
        <v>3323</v>
      </c>
    </row>
    <row r="130" spans="1:49">
      <c r="A130">
        <v>2017</v>
      </c>
      <c r="B130" t="s">
        <v>100</v>
      </c>
      <c r="F130">
        <v>3</v>
      </c>
      <c r="R130">
        <v>5</v>
      </c>
      <c r="S130">
        <v>133</v>
      </c>
      <c r="AC130">
        <v>147</v>
      </c>
      <c r="AR130">
        <v>6</v>
      </c>
      <c r="AU130">
        <v>3790</v>
      </c>
      <c r="AW130">
        <v>20</v>
      </c>
    </row>
    <row r="131" spans="1:49">
      <c r="A131">
        <v>2017</v>
      </c>
      <c r="B131" t="s">
        <v>96</v>
      </c>
      <c r="F131">
        <v>3</v>
      </c>
      <c r="AC131">
        <v>29</v>
      </c>
      <c r="AR131">
        <v>58</v>
      </c>
    </row>
    <row r="132" spans="1:49">
      <c r="A132">
        <v>2017</v>
      </c>
      <c r="B132" t="s">
        <v>106</v>
      </c>
      <c r="AC132">
        <v>279</v>
      </c>
      <c r="AR132">
        <v>21</v>
      </c>
      <c r="AU132">
        <v>15011</v>
      </c>
    </row>
    <row r="133" spans="1:49">
      <c r="A133">
        <v>2017</v>
      </c>
      <c r="B133" t="s">
        <v>105</v>
      </c>
      <c r="D133">
        <v>93</v>
      </c>
      <c r="R133">
        <v>41</v>
      </c>
      <c r="AC133">
        <v>219</v>
      </c>
      <c r="AR133">
        <v>57</v>
      </c>
      <c r="AU133">
        <v>8453</v>
      </c>
    </row>
    <row r="134" spans="1:49">
      <c r="A134">
        <v>2018</v>
      </c>
      <c r="B134" t="s">
        <v>94</v>
      </c>
      <c r="C134">
        <v>13186</v>
      </c>
      <c r="D134">
        <v>45</v>
      </c>
      <c r="E134">
        <v>2300</v>
      </c>
      <c r="F134">
        <v>3368</v>
      </c>
      <c r="G134">
        <v>1850</v>
      </c>
      <c r="H134">
        <v>670</v>
      </c>
      <c r="I134">
        <v>11204</v>
      </c>
      <c r="J134">
        <v>6518</v>
      </c>
      <c r="K134">
        <v>0</v>
      </c>
      <c r="L134">
        <v>1088</v>
      </c>
      <c r="M134">
        <v>440</v>
      </c>
      <c r="N134">
        <v>916</v>
      </c>
      <c r="O134">
        <v>185038</v>
      </c>
      <c r="P134">
        <v>639</v>
      </c>
      <c r="Q134">
        <v>17026</v>
      </c>
      <c r="R134">
        <v>2736</v>
      </c>
      <c r="S134">
        <v>8812</v>
      </c>
      <c r="T134">
        <v>5574</v>
      </c>
      <c r="U134">
        <v>596</v>
      </c>
      <c r="V134">
        <v>1181</v>
      </c>
      <c r="W134">
        <v>0</v>
      </c>
      <c r="X134">
        <v>20964</v>
      </c>
      <c r="Y134">
        <v>1407</v>
      </c>
      <c r="Z134">
        <v>1996</v>
      </c>
      <c r="AA134">
        <v>0</v>
      </c>
      <c r="AB134">
        <v>5155</v>
      </c>
      <c r="AC134">
        <v>5147</v>
      </c>
      <c r="AD134">
        <v>1700</v>
      </c>
      <c r="AE134">
        <v>4790</v>
      </c>
      <c r="AF134">
        <v>5520</v>
      </c>
      <c r="AG134">
        <v>1726</v>
      </c>
      <c r="AH134">
        <v>1745</v>
      </c>
      <c r="AI134">
        <v>149976</v>
      </c>
      <c r="AJ134">
        <v>3296</v>
      </c>
      <c r="AK134">
        <v>0</v>
      </c>
      <c r="AL134">
        <v>1132</v>
      </c>
      <c r="AM134">
        <v>822</v>
      </c>
      <c r="AN134">
        <v>0</v>
      </c>
      <c r="AO134">
        <v>556</v>
      </c>
      <c r="AP134">
        <v>537</v>
      </c>
      <c r="AQ134">
        <v>1606</v>
      </c>
      <c r="AR134">
        <v>1633</v>
      </c>
      <c r="AS134">
        <v>5770</v>
      </c>
      <c r="AT134">
        <v>0</v>
      </c>
      <c r="AU134">
        <v>87006</v>
      </c>
      <c r="AV134">
        <v>8042</v>
      </c>
      <c r="AW134">
        <v>6665</v>
      </c>
    </row>
    <row r="135" spans="1:49">
      <c r="A135">
        <v>2018</v>
      </c>
      <c r="B135" t="s">
        <v>98</v>
      </c>
      <c r="C135">
        <v>25108</v>
      </c>
      <c r="D135">
        <v>18312</v>
      </c>
      <c r="E135">
        <v>6820</v>
      </c>
      <c r="F135">
        <v>0</v>
      </c>
      <c r="G135">
        <v>15290</v>
      </c>
      <c r="H135">
        <v>2390</v>
      </c>
      <c r="I135">
        <v>30326</v>
      </c>
      <c r="J135">
        <v>18312</v>
      </c>
      <c r="K135">
        <v>186652</v>
      </c>
      <c r="L135">
        <v>10162</v>
      </c>
      <c r="M135">
        <v>1358</v>
      </c>
      <c r="N135">
        <v>1412</v>
      </c>
      <c r="O135">
        <v>112822</v>
      </c>
      <c r="P135">
        <v>9942</v>
      </c>
      <c r="Q135">
        <v>123544</v>
      </c>
      <c r="R135">
        <v>12170</v>
      </c>
      <c r="S135">
        <v>250048</v>
      </c>
      <c r="T135">
        <v>14390</v>
      </c>
      <c r="U135">
        <v>2996</v>
      </c>
      <c r="V135">
        <v>1488</v>
      </c>
      <c r="W135">
        <v>0</v>
      </c>
      <c r="X135">
        <v>119802</v>
      </c>
      <c r="Y135">
        <v>4526</v>
      </c>
      <c r="Z135">
        <v>13732</v>
      </c>
      <c r="AA135">
        <v>7666</v>
      </c>
      <c r="AB135">
        <v>11986</v>
      </c>
      <c r="AC135">
        <v>16306</v>
      </c>
      <c r="AD135">
        <v>8223</v>
      </c>
      <c r="AE135">
        <v>9972</v>
      </c>
      <c r="AF135">
        <v>15914</v>
      </c>
      <c r="AG135">
        <v>10614</v>
      </c>
      <c r="AH135">
        <v>8251</v>
      </c>
      <c r="AI135">
        <v>220210</v>
      </c>
      <c r="AJ135">
        <v>26690</v>
      </c>
      <c r="AK135">
        <v>0</v>
      </c>
      <c r="AL135">
        <v>11514</v>
      </c>
      <c r="AM135">
        <v>7452</v>
      </c>
      <c r="AN135">
        <v>812</v>
      </c>
      <c r="AO135">
        <v>9412</v>
      </c>
      <c r="AP135">
        <v>2223</v>
      </c>
      <c r="AQ135">
        <v>9598</v>
      </c>
      <c r="AR135">
        <v>3902</v>
      </c>
      <c r="AS135">
        <v>63880</v>
      </c>
      <c r="AT135">
        <v>105814</v>
      </c>
      <c r="AU135">
        <v>141104</v>
      </c>
      <c r="AV135">
        <v>41492</v>
      </c>
      <c r="AW135">
        <v>67752</v>
      </c>
    </row>
    <row r="136" spans="1:49">
      <c r="A136">
        <v>2018</v>
      </c>
      <c r="B136" t="s">
        <v>97</v>
      </c>
      <c r="C136">
        <v>0</v>
      </c>
      <c r="D136">
        <v>0</v>
      </c>
      <c r="E136">
        <v>2110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968</v>
      </c>
      <c r="N136">
        <v>0</v>
      </c>
      <c r="O136">
        <v>17896</v>
      </c>
      <c r="P136">
        <v>0</v>
      </c>
      <c r="Q136">
        <v>32318</v>
      </c>
      <c r="R136">
        <v>0</v>
      </c>
      <c r="S136">
        <v>20978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1784</v>
      </c>
      <c r="Z136">
        <v>0</v>
      </c>
      <c r="AA136">
        <v>7988</v>
      </c>
      <c r="AB136">
        <v>6470</v>
      </c>
      <c r="AC136">
        <v>12042</v>
      </c>
      <c r="AD136">
        <v>1342</v>
      </c>
      <c r="AE136">
        <v>0</v>
      </c>
      <c r="AF136">
        <v>0</v>
      </c>
      <c r="AG136">
        <v>10</v>
      </c>
      <c r="AH136">
        <v>1812</v>
      </c>
      <c r="AI136">
        <v>142474</v>
      </c>
      <c r="AJ136">
        <v>2942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316</v>
      </c>
      <c r="AQ136">
        <v>0</v>
      </c>
      <c r="AR136">
        <v>2570</v>
      </c>
      <c r="AS136">
        <v>0</v>
      </c>
      <c r="AT136">
        <v>0</v>
      </c>
      <c r="AU136">
        <v>0</v>
      </c>
      <c r="AV136">
        <v>4274</v>
      </c>
      <c r="AW136">
        <v>0</v>
      </c>
    </row>
    <row r="137" spans="1:49">
      <c r="A137">
        <v>2018</v>
      </c>
      <c r="B137" t="s">
        <v>89</v>
      </c>
      <c r="C137">
        <v>1652</v>
      </c>
      <c r="D137">
        <v>14</v>
      </c>
      <c r="E137">
        <v>12</v>
      </c>
      <c r="F137">
        <v>91</v>
      </c>
      <c r="G137">
        <v>96</v>
      </c>
      <c r="H137">
        <v>10</v>
      </c>
      <c r="I137">
        <v>506</v>
      </c>
      <c r="K137">
        <v>404</v>
      </c>
      <c r="L137">
        <v>27</v>
      </c>
      <c r="M137">
        <v>32</v>
      </c>
      <c r="N137">
        <v>81</v>
      </c>
      <c r="O137">
        <v>15437</v>
      </c>
      <c r="P137">
        <v>186</v>
      </c>
      <c r="Q137">
        <v>1889</v>
      </c>
      <c r="R137">
        <v>40</v>
      </c>
      <c r="S137">
        <v>713</v>
      </c>
      <c r="T137">
        <v>73</v>
      </c>
      <c r="U137">
        <v>4</v>
      </c>
      <c r="V137">
        <v>0</v>
      </c>
      <c r="X137">
        <v>841</v>
      </c>
      <c r="Y137">
        <v>3</v>
      </c>
      <c r="Z137">
        <v>159</v>
      </c>
      <c r="AA137">
        <v>225</v>
      </c>
      <c r="AB137">
        <v>30</v>
      </c>
      <c r="AC137">
        <v>255</v>
      </c>
      <c r="AD137">
        <v>112</v>
      </c>
      <c r="AE137">
        <v>466</v>
      </c>
      <c r="AF137">
        <v>112</v>
      </c>
      <c r="AG137">
        <v>87</v>
      </c>
      <c r="AH137">
        <v>30</v>
      </c>
      <c r="AI137">
        <v>4358</v>
      </c>
      <c r="AJ137">
        <v>228</v>
      </c>
      <c r="AL137">
        <v>15</v>
      </c>
      <c r="AM137">
        <v>32</v>
      </c>
      <c r="AO137">
        <v>74</v>
      </c>
      <c r="AQ137">
        <v>3</v>
      </c>
      <c r="AR137">
        <v>21</v>
      </c>
      <c r="AS137">
        <v>682</v>
      </c>
      <c r="AT137">
        <v>26</v>
      </c>
      <c r="AU137">
        <v>6433</v>
      </c>
      <c r="AV137">
        <v>160</v>
      </c>
      <c r="AW137">
        <v>104</v>
      </c>
    </row>
    <row r="138" spans="1:49">
      <c r="A138">
        <v>2018</v>
      </c>
      <c r="B138" t="s">
        <v>87</v>
      </c>
      <c r="F138">
        <v>185</v>
      </c>
      <c r="G138">
        <v>27</v>
      </c>
      <c r="O138">
        <v>46</v>
      </c>
      <c r="U138">
        <v>10</v>
      </c>
      <c r="V138">
        <v>8</v>
      </c>
      <c r="AB138">
        <v>53</v>
      </c>
      <c r="AC138">
        <v>39</v>
      </c>
      <c r="AG138">
        <v>41</v>
      </c>
      <c r="AI138">
        <v>19269</v>
      </c>
      <c r="AM138">
        <v>22</v>
      </c>
      <c r="AS138">
        <v>768</v>
      </c>
      <c r="AV138">
        <v>353</v>
      </c>
      <c r="AW138">
        <v>508</v>
      </c>
    </row>
    <row r="139" spans="1:49">
      <c r="A139">
        <v>2018</v>
      </c>
      <c r="B139" t="s">
        <v>88</v>
      </c>
      <c r="F139">
        <v>2</v>
      </c>
      <c r="G139">
        <v>27</v>
      </c>
      <c r="H139">
        <v>1</v>
      </c>
      <c r="O139">
        <v>729</v>
      </c>
      <c r="U139">
        <v>7</v>
      </c>
      <c r="V139">
        <v>0</v>
      </c>
      <c r="AB139">
        <v>15</v>
      </c>
      <c r="AC139">
        <v>276</v>
      </c>
      <c r="AI139">
        <v>6165</v>
      </c>
      <c r="AM139">
        <v>2</v>
      </c>
      <c r="AR139">
        <v>4</v>
      </c>
      <c r="AS139">
        <v>89</v>
      </c>
      <c r="AW139">
        <v>14</v>
      </c>
    </row>
    <row r="140" spans="1:49">
      <c r="A140">
        <v>2018</v>
      </c>
      <c r="B140" t="s">
        <v>103</v>
      </c>
      <c r="C140">
        <v>2302</v>
      </c>
      <c r="D140">
        <v>119</v>
      </c>
      <c r="E140">
        <v>306</v>
      </c>
      <c r="F140">
        <v>239</v>
      </c>
      <c r="G140">
        <v>156</v>
      </c>
      <c r="H140">
        <v>36</v>
      </c>
      <c r="I140">
        <v>2495</v>
      </c>
      <c r="J140">
        <v>14</v>
      </c>
      <c r="K140">
        <v>1687</v>
      </c>
      <c r="L140">
        <v>157</v>
      </c>
      <c r="M140">
        <v>36</v>
      </c>
      <c r="N140">
        <v>172</v>
      </c>
      <c r="O140">
        <v>18807</v>
      </c>
      <c r="P140">
        <v>451</v>
      </c>
      <c r="Q140">
        <v>10752</v>
      </c>
      <c r="R140">
        <v>227</v>
      </c>
      <c r="S140">
        <v>918</v>
      </c>
      <c r="T140">
        <v>255</v>
      </c>
      <c r="U140">
        <v>2</v>
      </c>
      <c r="V140">
        <v>11</v>
      </c>
      <c r="W140">
        <v>10</v>
      </c>
      <c r="X140">
        <v>964</v>
      </c>
      <c r="Y140">
        <v>93</v>
      </c>
      <c r="Z140">
        <v>398</v>
      </c>
      <c r="AA140">
        <v>27</v>
      </c>
      <c r="AB140">
        <v>182</v>
      </c>
      <c r="AC140">
        <v>305</v>
      </c>
      <c r="AD140">
        <v>78</v>
      </c>
      <c r="AE140">
        <v>748</v>
      </c>
      <c r="AF140">
        <v>387</v>
      </c>
      <c r="AG140">
        <v>464</v>
      </c>
      <c r="AH140">
        <v>60</v>
      </c>
      <c r="AI140">
        <v>24668</v>
      </c>
      <c r="AJ140">
        <v>886</v>
      </c>
      <c r="AL140">
        <v>156</v>
      </c>
      <c r="AM140">
        <v>360</v>
      </c>
      <c r="AO140">
        <v>281</v>
      </c>
      <c r="AP140">
        <v>124</v>
      </c>
      <c r="AQ140">
        <v>269</v>
      </c>
      <c r="AR140">
        <v>213</v>
      </c>
      <c r="AS140">
        <v>1845</v>
      </c>
      <c r="AT140">
        <v>324</v>
      </c>
      <c r="AV140">
        <v>727</v>
      </c>
      <c r="AW140">
        <v>1397</v>
      </c>
    </row>
    <row r="141" spans="1:49">
      <c r="A141">
        <v>2018</v>
      </c>
      <c r="B141" t="s">
        <v>102</v>
      </c>
      <c r="E141">
        <v>45</v>
      </c>
      <c r="G141">
        <v>435</v>
      </c>
      <c r="M141">
        <v>19</v>
      </c>
      <c r="O141">
        <v>880</v>
      </c>
      <c r="U141">
        <v>76</v>
      </c>
      <c r="V141">
        <v>18</v>
      </c>
      <c r="X141">
        <v>1331</v>
      </c>
      <c r="AC141">
        <v>1887</v>
      </c>
      <c r="AF141">
        <v>234</v>
      </c>
      <c r="AG141">
        <v>226</v>
      </c>
      <c r="AI141">
        <v>5793</v>
      </c>
      <c r="AR141">
        <v>3</v>
      </c>
      <c r="AV141">
        <v>1132</v>
      </c>
      <c r="AW141">
        <v>1827</v>
      </c>
    </row>
    <row r="142" spans="1:49">
      <c r="A142">
        <v>2018</v>
      </c>
      <c r="B142" t="s">
        <v>101</v>
      </c>
      <c r="E142">
        <v>5086</v>
      </c>
      <c r="G142">
        <v>10</v>
      </c>
      <c r="O142">
        <v>365</v>
      </c>
      <c r="V142">
        <v>0</v>
      </c>
      <c r="X142">
        <v>21942</v>
      </c>
      <c r="AG142">
        <v>52</v>
      </c>
      <c r="AR142">
        <v>978</v>
      </c>
      <c r="AV142">
        <v>3616</v>
      </c>
    </row>
    <row r="143" spans="1:49">
      <c r="A143">
        <v>2018</v>
      </c>
      <c r="B143" t="s">
        <v>92</v>
      </c>
      <c r="C143">
        <v>98</v>
      </c>
      <c r="D143">
        <v>1071</v>
      </c>
      <c r="E143">
        <v>668</v>
      </c>
      <c r="F143">
        <v>648</v>
      </c>
      <c r="G143">
        <v>160</v>
      </c>
      <c r="H143">
        <v>112</v>
      </c>
      <c r="J143">
        <v>241</v>
      </c>
      <c r="K143">
        <v>2934</v>
      </c>
      <c r="L143">
        <v>320</v>
      </c>
      <c r="N143">
        <v>65</v>
      </c>
      <c r="O143">
        <v>136</v>
      </c>
      <c r="P143">
        <v>549</v>
      </c>
      <c r="Q143">
        <v>10450</v>
      </c>
      <c r="R143">
        <v>439</v>
      </c>
      <c r="S143">
        <v>1563</v>
      </c>
      <c r="T143">
        <v>181</v>
      </c>
      <c r="U143">
        <v>138</v>
      </c>
      <c r="V143">
        <v>53</v>
      </c>
      <c r="W143">
        <v>2</v>
      </c>
      <c r="Z143">
        <v>205</v>
      </c>
      <c r="AA143">
        <v>306</v>
      </c>
      <c r="AE143">
        <v>291</v>
      </c>
      <c r="AF143">
        <v>542</v>
      </c>
      <c r="AH143">
        <v>432</v>
      </c>
      <c r="AI143">
        <v>26677</v>
      </c>
      <c r="AJ143">
        <v>1990</v>
      </c>
      <c r="AK143">
        <v>328</v>
      </c>
      <c r="AL143">
        <v>311</v>
      </c>
      <c r="AM143">
        <v>272</v>
      </c>
      <c r="AO143">
        <v>370</v>
      </c>
      <c r="AP143">
        <v>71</v>
      </c>
      <c r="AQ143">
        <v>749</v>
      </c>
      <c r="AR143">
        <v>460</v>
      </c>
      <c r="AS143">
        <v>4361</v>
      </c>
      <c r="AT143">
        <v>3874</v>
      </c>
      <c r="AU143">
        <v>5455</v>
      </c>
      <c r="AV143">
        <v>18</v>
      </c>
      <c r="AW143">
        <v>644</v>
      </c>
    </row>
    <row r="144" spans="1:49">
      <c r="A144">
        <v>2018</v>
      </c>
      <c r="B144" t="s">
        <v>95</v>
      </c>
      <c r="E144">
        <v>137</v>
      </c>
      <c r="G144">
        <v>134</v>
      </c>
      <c r="O144">
        <v>6245</v>
      </c>
      <c r="V144">
        <v>17</v>
      </c>
      <c r="X144">
        <v>430</v>
      </c>
      <c r="AI144">
        <v>2578</v>
      </c>
      <c r="AJ144">
        <v>152</v>
      </c>
      <c r="AR144">
        <v>148</v>
      </c>
      <c r="AU144">
        <v>8878</v>
      </c>
      <c r="AV144">
        <v>761</v>
      </c>
      <c r="AW144">
        <v>480</v>
      </c>
    </row>
    <row r="145" spans="1:49">
      <c r="A145">
        <v>2018</v>
      </c>
      <c r="B145" t="s">
        <v>93</v>
      </c>
      <c r="G145">
        <v>318</v>
      </c>
      <c r="M145">
        <v>8</v>
      </c>
      <c r="O145">
        <v>15238</v>
      </c>
      <c r="V145">
        <v>0</v>
      </c>
      <c r="AG145">
        <v>140</v>
      </c>
      <c r="AI145">
        <v>29246</v>
      </c>
      <c r="AR145">
        <v>183</v>
      </c>
      <c r="AU145">
        <v>5731</v>
      </c>
      <c r="AV145">
        <v>1712</v>
      </c>
      <c r="AW145">
        <v>1126</v>
      </c>
    </row>
    <row r="146" spans="1:49">
      <c r="A146">
        <v>2018</v>
      </c>
      <c r="B146" t="s">
        <v>90</v>
      </c>
      <c r="E146">
        <v>255</v>
      </c>
      <c r="O146">
        <v>1258</v>
      </c>
      <c r="V146">
        <v>1</v>
      </c>
      <c r="X146">
        <v>1628</v>
      </c>
      <c r="AD146">
        <v>5</v>
      </c>
      <c r="AG146">
        <v>134</v>
      </c>
      <c r="AR146">
        <v>51</v>
      </c>
      <c r="AU146">
        <v>3831</v>
      </c>
      <c r="AV146">
        <v>2742</v>
      </c>
      <c r="AW146">
        <v>2305</v>
      </c>
    </row>
    <row r="147" spans="1:49">
      <c r="A147">
        <v>2018</v>
      </c>
      <c r="B147" t="s">
        <v>91</v>
      </c>
      <c r="V147">
        <v>0</v>
      </c>
      <c r="X147">
        <v>3682</v>
      </c>
      <c r="AR147">
        <v>300</v>
      </c>
    </row>
    <row r="148" spans="1:49">
      <c r="A148">
        <v>2018</v>
      </c>
      <c r="B148" t="s">
        <v>86</v>
      </c>
      <c r="C148">
        <v>1680</v>
      </c>
      <c r="D148">
        <v>11845</v>
      </c>
      <c r="H148">
        <v>115</v>
      </c>
      <c r="I148">
        <v>14556</v>
      </c>
      <c r="N148">
        <v>117</v>
      </c>
      <c r="P148">
        <v>243</v>
      </c>
      <c r="Q148">
        <v>37259</v>
      </c>
      <c r="S148">
        <v>15820</v>
      </c>
      <c r="T148">
        <v>16567</v>
      </c>
      <c r="U148">
        <v>1553</v>
      </c>
      <c r="V148">
        <v>3481</v>
      </c>
      <c r="X148">
        <v>58079</v>
      </c>
      <c r="Y148">
        <v>3391</v>
      </c>
      <c r="Z148">
        <v>14508</v>
      </c>
      <c r="AA148">
        <v>35000</v>
      </c>
      <c r="AB148">
        <v>1152</v>
      </c>
      <c r="AC148">
        <v>4787</v>
      </c>
      <c r="AE148">
        <v>180</v>
      </c>
      <c r="AF148">
        <v>10016</v>
      </c>
      <c r="AG148">
        <v>2292</v>
      </c>
      <c r="AI148">
        <v>116454</v>
      </c>
      <c r="AJ148">
        <v>45000</v>
      </c>
      <c r="AK148">
        <v>17417</v>
      </c>
      <c r="AM148">
        <v>1455</v>
      </c>
      <c r="AO148">
        <v>6324</v>
      </c>
      <c r="AR148">
        <v>7086</v>
      </c>
      <c r="AU148">
        <v>54180</v>
      </c>
      <c r="AV148">
        <v>1283</v>
      </c>
      <c r="AW148">
        <v>15888</v>
      </c>
    </row>
    <row r="149" spans="1:49">
      <c r="A149">
        <v>2018</v>
      </c>
      <c r="B149" t="s">
        <v>104</v>
      </c>
      <c r="E149">
        <v>58</v>
      </c>
      <c r="G149">
        <v>42</v>
      </c>
      <c r="O149">
        <v>1751</v>
      </c>
      <c r="V149">
        <v>15</v>
      </c>
      <c r="AC149">
        <v>78</v>
      </c>
      <c r="AG149">
        <v>118</v>
      </c>
      <c r="AI149">
        <v>4793</v>
      </c>
      <c r="AJ149">
        <v>225</v>
      </c>
      <c r="AR149">
        <v>160</v>
      </c>
      <c r="AU149">
        <v>7705</v>
      </c>
      <c r="AV149">
        <v>739</v>
      </c>
      <c r="AW149">
        <v>439</v>
      </c>
    </row>
    <row r="150" spans="1:49">
      <c r="A150">
        <v>2018</v>
      </c>
      <c r="B150" t="s">
        <v>99</v>
      </c>
      <c r="G150">
        <v>3</v>
      </c>
      <c r="V150">
        <v>0</v>
      </c>
      <c r="X150">
        <v>1147</v>
      </c>
      <c r="AB150">
        <v>6</v>
      </c>
      <c r="AC150">
        <v>620</v>
      </c>
      <c r="AR150">
        <v>3</v>
      </c>
      <c r="AU150">
        <v>230</v>
      </c>
      <c r="AW150">
        <v>56</v>
      </c>
    </row>
    <row r="151" spans="1:49">
      <c r="A151">
        <v>2018</v>
      </c>
      <c r="B151" t="s">
        <v>85</v>
      </c>
      <c r="G151">
        <v>9</v>
      </c>
      <c r="V151">
        <v>0</v>
      </c>
      <c r="AC151">
        <v>3</v>
      </c>
      <c r="AI151">
        <v>56</v>
      </c>
      <c r="AR151">
        <v>25</v>
      </c>
      <c r="AU151">
        <v>3512</v>
      </c>
    </row>
    <row r="152" spans="1:49">
      <c r="A152">
        <v>2018</v>
      </c>
      <c r="B152" t="s">
        <v>100</v>
      </c>
      <c r="G152">
        <v>5</v>
      </c>
      <c r="O152">
        <v>1533</v>
      </c>
      <c r="V152">
        <v>1</v>
      </c>
      <c r="AC152">
        <v>150</v>
      </c>
      <c r="AG152">
        <v>84</v>
      </c>
      <c r="AI152">
        <v>4626</v>
      </c>
      <c r="AJ152">
        <v>13</v>
      </c>
      <c r="AR152">
        <v>5</v>
      </c>
      <c r="AU152">
        <v>3848</v>
      </c>
      <c r="AV152">
        <v>16</v>
      </c>
      <c r="AW152">
        <v>20</v>
      </c>
    </row>
    <row r="153" spans="1:49">
      <c r="A153">
        <v>2018</v>
      </c>
      <c r="B153" t="s">
        <v>96</v>
      </c>
      <c r="O153">
        <v>107</v>
      </c>
      <c r="V153">
        <v>0</v>
      </c>
      <c r="AC153">
        <v>28</v>
      </c>
      <c r="AR153">
        <v>51</v>
      </c>
      <c r="AW153">
        <v>26</v>
      </c>
    </row>
    <row r="154" spans="1:49">
      <c r="A154">
        <v>2018</v>
      </c>
      <c r="B154" t="s">
        <v>106</v>
      </c>
      <c r="E154">
        <v>102</v>
      </c>
      <c r="V154">
        <v>53</v>
      </c>
      <c r="AC154">
        <v>338</v>
      </c>
      <c r="AR154">
        <v>20</v>
      </c>
      <c r="AW154">
        <v>12</v>
      </c>
    </row>
    <row r="155" spans="1:49">
      <c r="A155">
        <v>2018</v>
      </c>
      <c r="B155" t="s">
        <v>105</v>
      </c>
      <c r="G155">
        <v>16</v>
      </c>
      <c r="O155">
        <v>4403</v>
      </c>
      <c r="V155">
        <v>2</v>
      </c>
      <c r="AC155">
        <v>608</v>
      </c>
      <c r="AJ155">
        <v>310</v>
      </c>
      <c r="AR155">
        <v>62</v>
      </c>
      <c r="AU155">
        <v>8565</v>
      </c>
    </row>
    <row r="156" spans="1:49">
      <c r="A156">
        <v>2019</v>
      </c>
      <c r="B156" t="s">
        <v>94</v>
      </c>
      <c r="C156">
        <v>0</v>
      </c>
      <c r="D156">
        <v>0</v>
      </c>
      <c r="E156">
        <v>1842</v>
      </c>
      <c r="F156">
        <v>5397</v>
      </c>
      <c r="G156">
        <v>1840</v>
      </c>
      <c r="H156">
        <v>0</v>
      </c>
      <c r="I156">
        <v>8346</v>
      </c>
      <c r="J156">
        <v>0</v>
      </c>
      <c r="K156">
        <v>30032</v>
      </c>
      <c r="L156">
        <v>0</v>
      </c>
      <c r="M156">
        <v>0</v>
      </c>
      <c r="N156">
        <v>0</v>
      </c>
      <c r="O156">
        <v>84280</v>
      </c>
      <c r="P156">
        <v>576</v>
      </c>
      <c r="Q156">
        <v>11734</v>
      </c>
      <c r="R156">
        <v>3587</v>
      </c>
      <c r="S156">
        <v>6634</v>
      </c>
      <c r="T156">
        <v>0</v>
      </c>
      <c r="U156">
        <v>457</v>
      </c>
      <c r="V156">
        <v>0</v>
      </c>
      <c r="W156">
        <v>0</v>
      </c>
      <c r="X156">
        <v>0</v>
      </c>
      <c r="Y156">
        <v>1508</v>
      </c>
      <c r="Z156">
        <v>0</v>
      </c>
      <c r="AA156">
        <v>0</v>
      </c>
      <c r="AB156">
        <v>0</v>
      </c>
      <c r="AC156">
        <v>5993</v>
      </c>
      <c r="AD156">
        <v>1794</v>
      </c>
      <c r="AE156">
        <v>6580</v>
      </c>
      <c r="AF156">
        <v>0</v>
      </c>
      <c r="AG156">
        <v>1931</v>
      </c>
      <c r="AH156">
        <v>1776</v>
      </c>
      <c r="AI156">
        <v>159688</v>
      </c>
      <c r="AJ156">
        <v>2984</v>
      </c>
      <c r="AK156">
        <v>5952</v>
      </c>
      <c r="AL156">
        <v>538</v>
      </c>
      <c r="AM156">
        <v>747</v>
      </c>
      <c r="AN156">
        <v>213</v>
      </c>
      <c r="AO156">
        <v>0</v>
      </c>
      <c r="AP156">
        <v>479</v>
      </c>
      <c r="AQ156">
        <v>1905</v>
      </c>
      <c r="AR156">
        <v>1651</v>
      </c>
      <c r="AS156">
        <v>0</v>
      </c>
      <c r="AT156">
        <v>0</v>
      </c>
      <c r="AU156">
        <v>92786</v>
      </c>
      <c r="AV156">
        <v>8772</v>
      </c>
      <c r="AW156">
        <v>0</v>
      </c>
    </row>
    <row r="157" spans="1:49">
      <c r="A157">
        <v>2019</v>
      </c>
      <c r="B157" t="s">
        <v>98</v>
      </c>
      <c r="C157">
        <v>0</v>
      </c>
      <c r="D157">
        <v>15036</v>
      </c>
      <c r="E157">
        <v>5340</v>
      </c>
      <c r="F157">
        <v>22728</v>
      </c>
      <c r="G157">
        <v>15526</v>
      </c>
      <c r="H157">
        <v>0</v>
      </c>
      <c r="I157">
        <v>22518</v>
      </c>
      <c r="J157">
        <v>0</v>
      </c>
      <c r="K157">
        <v>187928</v>
      </c>
      <c r="L157">
        <v>0</v>
      </c>
      <c r="M157">
        <v>0</v>
      </c>
      <c r="N157">
        <v>0</v>
      </c>
      <c r="O157">
        <v>8850</v>
      </c>
      <c r="P157">
        <v>0</v>
      </c>
      <c r="Q157">
        <v>0</v>
      </c>
      <c r="R157">
        <v>10179</v>
      </c>
      <c r="S157">
        <v>139578</v>
      </c>
      <c r="T157">
        <v>0</v>
      </c>
      <c r="U157">
        <v>1498</v>
      </c>
      <c r="V157">
        <v>0</v>
      </c>
      <c r="W157">
        <v>0</v>
      </c>
      <c r="X157">
        <v>0</v>
      </c>
      <c r="Y157">
        <v>3956</v>
      </c>
      <c r="Z157">
        <v>0</v>
      </c>
      <c r="AA157">
        <v>0</v>
      </c>
      <c r="AB157">
        <v>0</v>
      </c>
      <c r="AC157">
        <v>16358</v>
      </c>
      <c r="AD157">
        <v>8738</v>
      </c>
      <c r="AE157">
        <v>0</v>
      </c>
      <c r="AF157">
        <v>0</v>
      </c>
      <c r="AG157">
        <v>11806</v>
      </c>
      <c r="AH157">
        <v>0</v>
      </c>
      <c r="AI157">
        <v>361418</v>
      </c>
      <c r="AJ157">
        <v>20818</v>
      </c>
      <c r="AK157">
        <v>14883</v>
      </c>
      <c r="AL157">
        <v>8622</v>
      </c>
      <c r="AM157">
        <v>7428</v>
      </c>
      <c r="AN157">
        <v>880</v>
      </c>
      <c r="AO157">
        <v>0</v>
      </c>
      <c r="AP157">
        <v>0</v>
      </c>
      <c r="AQ157">
        <v>0</v>
      </c>
      <c r="AR157">
        <v>4268</v>
      </c>
      <c r="AS157">
        <v>0</v>
      </c>
      <c r="AT157">
        <v>0</v>
      </c>
      <c r="AU157">
        <v>129276</v>
      </c>
      <c r="AV157">
        <v>46070</v>
      </c>
      <c r="AW157">
        <v>0</v>
      </c>
    </row>
    <row r="158" spans="1:49">
      <c r="A158">
        <v>2019</v>
      </c>
      <c r="B158" t="s">
        <v>97</v>
      </c>
      <c r="C158">
        <v>0</v>
      </c>
      <c r="D158">
        <v>248</v>
      </c>
      <c r="E158">
        <v>1810</v>
      </c>
      <c r="F158">
        <v>14954</v>
      </c>
      <c r="G158">
        <v>0</v>
      </c>
      <c r="H158">
        <v>0</v>
      </c>
      <c r="I158">
        <v>11202</v>
      </c>
      <c r="J158">
        <v>0</v>
      </c>
      <c r="K158">
        <v>6298</v>
      </c>
      <c r="L158">
        <v>0</v>
      </c>
      <c r="M158">
        <v>0</v>
      </c>
      <c r="N158">
        <v>0</v>
      </c>
      <c r="O158">
        <v>18140</v>
      </c>
      <c r="P158">
        <v>0</v>
      </c>
      <c r="Q158">
        <v>0</v>
      </c>
      <c r="R158">
        <v>1214</v>
      </c>
      <c r="S158">
        <v>25346</v>
      </c>
      <c r="T158">
        <v>0</v>
      </c>
      <c r="U158">
        <v>682</v>
      </c>
      <c r="V158">
        <v>0</v>
      </c>
      <c r="W158">
        <v>0</v>
      </c>
      <c r="X158">
        <v>0</v>
      </c>
      <c r="Y158">
        <v>1534</v>
      </c>
      <c r="Z158">
        <v>0</v>
      </c>
      <c r="AA158">
        <v>0</v>
      </c>
      <c r="AB158">
        <v>0</v>
      </c>
      <c r="AC158">
        <v>12350</v>
      </c>
      <c r="AD158">
        <v>1864</v>
      </c>
      <c r="AE158">
        <v>0</v>
      </c>
      <c r="AF158">
        <v>0</v>
      </c>
      <c r="AG158">
        <v>10</v>
      </c>
      <c r="AH158">
        <v>0</v>
      </c>
      <c r="AI158">
        <v>241740</v>
      </c>
      <c r="AJ158">
        <v>3122</v>
      </c>
      <c r="AK158">
        <v>5312</v>
      </c>
      <c r="AL158">
        <v>4746</v>
      </c>
      <c r="AM158">
        <v>4760</v>
      </c>
      <c r="AN158">
        <v>44</v>
      </c>
      <c r="AO158">
        <v>0</v>
      </c>
      <c r="AP158">
        <v>0</v>
      </c>
      <c r="AQ158">
        <v>1178</v>
      </c>
      <c r="AR158">
        <v>3238</v>
      </c>
      <c r="AS158">
        <v>0</v>
      </c>
      <c r="AT158">
        <v>0</v>
      </c>
      <c r="AU158">
        <v>0</v>
      </c>
      <c r="AV158">
        <v>6446</v>
      </c>
      <c r="AW158">
        <v>0</v>
      </c>
    </row>
    <row r="159" spans="1:49">
      <c r="A159">
        <v>2019</v>
      </c>
      <c r="B159" t="s">
        <v>89</v>
      </c>
      <c r="F159">
        <v>52</v>
      </c>
      <c r="G159">
        <v>88</v>
      </c>
      <c r="I159">
        <v>373</v>
      </c>
      <c r="J159">
        <v>300</v>
      </c>
      <c r="K159">
        <v>422</v>
      </c>
      <c r="N159">
        <v>120</v>
      </c>
      <c r="O159">
        <v>7018</v>
      </c>
      <c r="Q159">
        <v>52</v>
      </c>
      <c r="R159">
        <v>34</v>
      </c>
      <c r="U159">
        <v>12</v>
      </c>
      <c r="X159">
        <v>1300</v>
      </c>
      <c r="Y159">
        <v>4</v>
      </c>
      <c r="Z159">
        <v>37</v>
      </c>
      <c r="AC159">
        <v>288</v>
      </c>
      <c r="AD159">
        <v>118</v>
      </c>
      <c r="AE159">
        <v>351</v>
      </c>
      <c r="AG159">
        <v>117</v>
      </c>
      <c r="AI159">
        <v>4358</v>
      </c>
      <c r="AK159">
        <v>219</v>
      </c>
      <c r="AL159">
        <v>7</v>
      </c>
      <c r="AM159">
        <v>20</v>
      </c>
      <c r="AN159">
        <v>6</v>
      </c>
      <c r="AO159">
        <v>14</v>
      </c>
      <c r="AP159">
        <v>42</v>
      </c>
      <c r="AT159">
        <v>310</v>
      </c>
      <c r="AU159">
        <v>6365</v>
      </c>
      <c r="AV159">
        <v>180</v>
      </c>
      <c r="AW159">
        <v>248</v>
      </c>
    </row>
    <row r="160" spans="1:49">
      <c r="A160">
        <v>2019</v>
      </c>
      <c r="B160" t="s">
        <v>87</v>
      </c>
      <c r="F160">
        <v>143</v>
      </c>
      <c r="G160">
        <v>27</v>
      </c>
      <c r="N160">
        <v>74</v>
      </c>
      <c r="R160">
        <v>32</v>
      </c>
      <c r="U160">
        <v>6</v>
      </c>
      <c r="X160">
        <v>464</v>
      </c>
      <c r="Z160">
        <v>47</v>
      </c>
      <c r="AA160">
        <v>21</v>
      </c>
      <c r="AC160">
        <v>305</v>
      </c>
      <c r="AG160">
        <v>43</v>
      </c>
      <c r="AI160">
        <v>6165</v>
      </c>
      <c r="AK160">
        <v>0</v>
      </c>
      <c r="AL160">
        <v>140</v>
      </c>
      <c r="AM160">
        <v>96</v>
      </c>
      <c r="AO160">
        <v>19</v>
      </c>
      <c r="AP160">
        <v>37</v>
      </c>
      <c r="AQ160">
        <v>11</v>
      </c>
      <c r="AR160">
        <v>25</v>
      </c>
      <c r="AT160">
        <v>900</v>
      </c>
      <c r="AV160">
        <v>390</v>
      </c>
      <c r="AW160">
        <v>329</v>
      </c>
    </row>
    <row r="161" spans="1:49">
      <c r="A161">
        <v>2019</v>
      </c>
      <c r="B161" t="s">
        <v>88</v>
      </c>
      <c r="G161">
        <v>33</v>
      </c>
      <c r="I161">
        <v>40</v>
      </c>
      <c r="N161">
        <v>20</v>
      </c>
      <c r="R161">
        <v>9</v>
      </c>
      <c r="U161">
        <v>95</v>
      </c>
      <c r="X161">
        <v>468</v>
      </c>
      <c r="Z161">
        <v>6</v>
      </c>
      <c r="AA161">
        <v>12</v>
      </c>
      <c r="AC161">
        <v>27</v>
      </c>
      <c r="AE161">
        <v>15</v>
      </c>
      <c r="AG161">
        <v>137</v>
      </c>
      <c r="AK161">
        <v>21</v>
      </c>
      <c r="AL161">
        <v>25</v>
      </c>
      <c r="AO161">
        <v>3</v>
      </c>
      <c r="AP161">
        <v>14</v>
      </c>
      <c r="AR161">
        <v>2</v>
      </c>
      <c r="AT161">
        <v>30</v>
      </c>
      <c r="AW161">
        <v>25</v>
      </c>
    </row>
    <row r="162" spans="1:49">
      <c r="A162">
        <v>2019</v>
      </c>
      <c r="B162" t="s">
        <v>103</v>
      </c>
      <c r="F162">
        <v>313</v>
      </c>
      <c r="G162">
        <v>138</v>
      </c>
      <c r="I162">
        <v>944</v>
      </c>
      <c r="K162">
        <v>584</v>
      </c>
      <c r="O162">
        <v>2156</v>
      </c>
      <c r="R162">
        <v>140</v>
      </c>
      <c r="S162">
        <v>1138</v>
      </c>
      <c r="U162">
        <v>2</v>
      </c>
      <c r="Y162">
        <v>54</v>
      </c>
      <c r="AC162">
        <v>385</v>
      </c>
      <c r="AD162">
        <v>74</v>
      </c>
      <c r="AG162">
        <v>514</v>
      </c>
      <c r="AI162">
        <v>24668</v>
      </c>
      <c r="AK162">
        <v>188</v>
      </c>
      <c r="AL162">
        <v>164</v>
      </c>
      <c r="AM162">
        <v>98</v>
      </c>
      <c r="AN162">
        <v>37</v>
      </c>
      <c r="AQ162">
        <v>52</v>
      </c>
      <c r="AR162">
        <v>222</v>
      </c>
      <c r="AV162">
        <v>856</v>
      </c>
    </row>
    <row r="163" spans="1:49">
      <c r="A163">
        <v>2019</v>
      </c>
      <c r="B163" t="s">
        <v>102</v>
      </c>
      <c r="F163">
        <v>192</v>
      </c>
      <c r="G163">
        <v>408</v>
      </c>
      <c r="K163">
        <v>188</v>
      </c>
      <c r="R163">
        <v>179</v>
      </c>
      <c r="U163">
        <v>81</v>
      </c>
      <c r="Y163">
        <v>201</v>
      </c>
      <c r="AC163">
        <v>2261</v>
      </c>
      <c r="AG163">
        <v>300</v>
      </c>
      <c r="AI163">
        <v>5793</v>
      </c>
      <c r="AK163">
        <v>45</v>
      </c>
      <c r="AL163">
        <v>213</v>
      </c>
      <c r="AM163">
        <v>253</v>
      </c>
      <c r="AQ163">
        <v>136</v>
      </c>
      <c r="AR163">
        <v>32</v>
      </c>
      <c r="AV163">
        <v>1312</v>
      </c>
    </row>
    <row r="164" spans="1:49">
      <c r="A164">
        <v>2019</v>
      </c>
      <c r="B164" t="s">
        <v>101</v>
      </c>
      <c r="G164">
        <v>10</v>
      </c>
      <c r="O164">
        <v>128823</v>
      </c>
      <c r="R164">
        <v>703</v>
      </c>
      <c r="U164">
        <v>0</v>
      </c>
      <c r="AC164">
        <v>6665</v>
      </c>
      <c r="AG164">
        <v>53</v>
      </c>
      <c r="AK164">
        <v>2352</v>
      </c>
      <c r="AL164">
        <v>319</v>
      </c>
      <c r="AM164">
        <v>580</v>
      </c>
      <c r="AR164">
        <v>817</v>
      </c>
      <c r="AV164">
        <v>4562</v>
      </c>
    </row>
    <row r="165" spans="1:49">
      <c r="A165">
        <v>2019</v>
      </c>
      <c r="B165" t="s">
        <v>92</v>
      </c>
      <c r="F165">
        <v>800</v>
      </c>
      <c r="G165">
        <v>156</v>
      </c>
      <c r="R165">
        <v>454</v>
      </c>
      <c r="U165">
        <v>22</v>
      </c>
      <c r="AC165">
        <v>2055</v>
      </c>
      <c r="AG165">
        <v>503</v>
      </c>
      <c r="AI165">
        <v>26677</v>
      </c>
      <c r="AK165">
        <v>715</v>
      </c>
      <c r="AM165">
        <v>485</v>
      </c>
      <c r="AR165">
        <v>518</v>
      </c>
      <c r="AU165">
        <v>9939</v>
      </c>
      <c r="AV165">
        <v>18</v>
      </c>
    </row>
    <row r="166" spans="1:49">
      <c r="A166">
        <v>2019</v>
      </c>
      <c r="B166" t="s">
        <v>95</v>
      </c>
      <c r="E166">
        <v>92</v>
      </c>
      <c r="F166">
        <v>191</v>
      </c>
      <c r="G166">
        <v>116</v>
      </c>
      <c r="R166">
        <v>78</v>
      </c>
      <c r="U166">
        <v>149</v>
      </c>
      <c r="AC166">
        <v>315</v>
      </c>
      <c r="AG166">
        <v>291</v>
      </c>
      <c r="AI166">
        <v>369</v>
      </c>
      <c r="AK166">
        <v>124</v>
      </c>
      <c r="AL166">
        <v>36</v>
      </c>
      <c r="AM166">
        <v>13</v>
      </c>
      <c r="AQ166">
        <v>48</v>
      </c>
      <c r="AR166">
        <v>139</v>
      </c>
      <c r="AV166">
        <v>929</v>
      </c>
    </row>
    <row r="167" spans="1:49">
      <c r="A167">
        <v>2019</v>
      </c>
      <c r="B167" t="s">
        <v>93</v>
      </c>
      <c r="G167">
        <v>330</v>
      </c>
      <c r="R167">
        <v>72</v>
      </c>
      <c r="U167">
        <v>0</v>
      </c>
      <c r="AI167">
        <v>29803</v>
      </c>
      <c r="AL167">
        <v>342</v>
      </c>
      <c r="AR167">
        <v>195</v>
      </c>
      <c r="AV167">
        <v>2045</v>
      </c>
    </row>
    <row r="168" spans="1:49">
      <c r="A168">
        <v>2019</v>
      </c>
      <c r="B168" t="s">
        <v>90</v>
      </c>
      <c r="F168">
        <v>222</v>
      </c>
      <c r="K168">
        <v>166</v>
      </c>
      <c r="R168">
        <v>201</v>
      </c>
      <c r="U168">
        <v>43</v>
      </c>
      <c r="AG168">
        <v>148</v>
      </c>
      <c r="AI168">
        <v>14743</v>
      </c>
      <c r="AK168">
        <v>835</v>
      </c>
      <c r="AL168">
        <v>121</v>
      </c>
      <c r="AM168">
        <v>8</v>
      </c>
      <c r="AQ168">
        <v>96</v>
      </c>
      <c r="AR168">
        <v>21</v>
      </c>
      <c r="AU168">
        <v>3881</v>
      </c>
      <c r="AV168">
        <v>3207</v>
      </c>
    </row>
    <row r="169" spans="1:49">
      <c r="A169">
        <v>2019</v>
      </c>
      <c r="B169" t="s">
        <v>91</v>
      </c>
      <c r="F169">
        <v>1348</v>
      </c>
      <c r="R169">
        <v>7</v>
      </c>
      <c r="U169">
        <v>106</v>
      </c>
      <c r="AR169">
        <v>332</v>
      </c>
    </row>
    <row r="170" spans="1:49">
      <c r="A170">
        <v>2019</v>
      </c>
      <c r="B170" t="s">
        <v>86</v>
      </c>
      <c r="F170">
        <v>2979</v>
      </c>
      <c r="R170">
        <v>117</v>
      </c>
      <c r="U170">
        <v>0</v>
      </c>
      <c r="AA170">
        <v>38338</v>
      </c>
      <c r="AC170">
        <v>6632</v>
      </c>
      <c r="AI170">
        <v>116454</v>
      </c>
      <c r="AK170">
        <v>1116</v>
      </c>
      <c r="AL170">
        <v>15000</v>
      </c>
      <c r="AM170">
        <v>850</v>
      </c>
      <c r="AT170">
        <v>179000</v>
      </c>
      <c r="AV170">
        <v>1846</v>
      </c>
    </row>
    <row r="171" spans="1:49">
      <c r="A171">
        <v>2019</v>
      </c>
      <c r="B171" t="s">
        <v>104</v>
      </c>
      <c r="G171">
        <v>38</v>
      </c>
      <c r="K171">
        <v>496</v>
      </c>
      <c r="R171">
        <v>29</v>
      </c>
      <c r="U171">
        <v>3</v>
      </c>
      <c r="AC171">
        <v>93</v>
      </c>
      <c r="AG171">
        <v>123</v>
      </c>
      <c r="AI171">
        <v>4971</v>
      </c>
      <c r="AL171">
        <v>8</v>
      </c>
      <c r="AM171">
        <v>11</v>
      </c>
      <c r="AQ171">
        <v>18</v>
      </c>
      <c r="AR171">
        <v>117</v>
      </c>
      <c r="AU171">
        <v>7908</v>
      </c>
      <c r="AV171">
        <v>864</v>
      </c>
    </row>
    <row r="172" spans="1:49">
      <c r="A172">
        <v>2019</v>
      </c>
      <c r="B172" t="s">
        <v>99</v>
      </c>
      <c r="F172">
        <v>21</v>
      </c>
      <c r="G172">
        <v>3</v>
      </c>
      <c r="K172">
        <v>668</v>
      </c>
      <c r="R172">
        <v>3</v>
      </c>
      <c r="U172">
        <v>0</v>
      </c>
      <c r="AC172">
        <v>745</v>
      </c>
      <c r="AK172">
        <v>3</v>
      </c>
      <c r="AL172">
        <v>130</v>
      </c>
      <c r="AM172">
        <v>168</v>
      </c>
      <c r="AQ172">
        <v>42</v>
      </c>
      <c r="AR172">
        <v>5</v>
      </c>
      <c r="AU172">
        <v>226</v>
      </c>
    </row>
    <row r="173" spans="1:49">
      <c r="A173">
        <v>2019</v>
      </c>
      <c r="B173" t="s">
        <v>85</v>
      </c>
      <c r="G173">
        <v>8</v>
      </c>
      <c r="R173">
        <v>1</v>
      </c>
      <c r="U173">
        <v>0</v>
      </c>
      <c r="AC173">
        <v>2</v>
      </c>
      <c r="AI173">
        <v>79</v>
      </c>
      <c r="AK173">
        <v>2</v>
      </c>
      <c r="AM173">
        <v>0</v>
      </c>
      <c r="AR173">
        <v>35</v>
      </c>
      <c r="AU173">
        <v>3676</v>
      </c>
    </row>
    <row r="174" spans="1:49">
      <c r="A174">
        <v>2019</v>
      </c>
      <c r="B174" t="s">
        <v>100</v>
      </c>
      <c r="G174">
        <v>3</v>
      </c>
      <c r="R174">
        <v>9</v>
      </c>
      <c r="U174">
        <v>16</v>
      </c>
      <c r="AC174">
        <v>165</v>
      </c>
      <c r="AG174">
        <v>99</v>
      </c>
      <c r="AI174">
        <v>4429</v>
      </c>
      <c r="AK174">
        <v>1</v>
      </c>
      <c r="AL174">
        <v>15</v>
      </c>
      <c r="AM174">
        <v>13</v>
      </c>
      <c r="AQ174">
        <v>50</v>
      </c>
      <c r="AR174">
        <v>4</v>
      </c>
      <c r="AU174">
        <v>3830</v>
      </c>
    </row>
    <row r="175" spans="1:49">
      <c r="A175">
        <v>2019</v>
      </c>
      <c r="B175" t="s">
        <v>96</v>
      </c>
      <c r="F175">
        <v>143</v>
      </c>
      <c r="R175">
        <v>0</v>
      </c>
      <c r="U175">
        <v>0</v>
      </c>
      <c r="AC175">
        <v>27</v>
      </c>
      <c r="AI175">
        <v>7</v>
      </c>
      <c r="AK175">
        <v>1</v>
      </c>
      <c r="AR175">
        <v>14</v>
      </c>
    </row>
    <row r="176" spans="1:49">
      <c r="A176">
        <v>2019</v>
      </c>
      <c r="B176" t="s">
        <v>106</v>
      </c>
      <c r="F176">
        <v>28</v>
      </c>
      <c r="R176">
        <v>109</v>
      </c>
      <c r="U176">
        <v>0</v>
      </c>
      <c r="AC176">
        <v>414</v>
      </c>
      <c r="AK176">
        <v>402</v>
      </c>
      <c r="AR176">
        <v>21</v>
      </c>
    </row>
    <row r="177" spans="1:49">
      <c r="A177">
        <v>2019</v>
      </c>
      <c r="B177" t="s">
        <v>105</v>
      </c>
      <c r="F177">
        <v>8</v>
      </c>
      <c r="G177">
        <v>15</v>
      </c>
      <c r="R177">
        <v>85</v>
      </c>
      <c r="U177">
        <v>0</v>
      </c>
      <c r="AC177">
        <v>393</v>
      </c>
      <c r="AI177">
        <v>267</v>
      </c>
      <c r="AK177">
        <v>16</v>
      </c>
      <c r="AR177">
        <v>61</v>
      </c>
      <c r="AU177">
        <v>8742</v>
      </c>
    </row>
    <row r="178" spans="1:49">
      <c r="A178">
        <v>2020</v>
      </c>
      <c r="B178" t="s">
        <v>94</v>
      </c>
      <c r="C178">
        <v>0</v>
      </c>
      <c r="D178">
        <v>1704</v>
      </c>
      <c r="E178">
        <v>0</v>
      </c>
      <c r="F178">
        <v>4360</v>
      </c>
      <c r="G178">
        <v>2048</v>
      </c>
      <c r="H178">
        <v>0</v>
      </c>
      <c r="I178">
        <v>8870</v>
      </c>
      <c r="J178">
        <v>5930</v>
      </c>
      <c r="K178">
        <v>0</v>
      </c>
      <c r="L178">
        <v>0</v>
      </c>
      <c r="M178">
        <v>708</v>
      </c>
      <c r="N178">
        <v>0</v>
      </c>
      <c r="O178">
        <v>0</v>
      </c>
      <c r="P178">
        <v>662</v>
      </c>
      <c r="Q178">
        <v>27155</v>
      </c>
      <c r="R178">
        <v>3559</v>
      </c>
      <c r="S178">
        <v>10570</v>
      </c>
      <c r="T178">
        <v>0</v>
      </c>
      <c r="U178">
        <v>466</v>
      </c>
      <c r="V178">
        <v>781</v>
      </c>
      <c r="W178">
        <v>0</v>
      </c>
      <c r="X178">
        <v>0</v>
      </c>
      <c r="Y178">
        <v>1611</v>
      </c>
      <c r="Z178">
        <v>0</v>
      </c>
      <c r="AA178">
        <v>0</v>
      </c>
      <c r="AB178">
        <v>0</v>
      </c>
      <c r="AC178">
        <v>6064</v>
      </c>
      <c r="AD178">
        <v>1868</v>
      </c>
      <c r="AE178">
        <v>7101</v>
      </c>
      <c r="AF178">
        <v>2265</v>
      </c>
      <c r="AG178">
        <v>2230</v>
      </c>
      <c r="AH178">
        <v>1670</v>
      </c>
      <c r="AI178">
        <v>0</v>
      </c>
      <c r="AJ178">
        <v>0</v>
      </c>
      <c r="AK178">
        <v>3606</v>
      </c>
      <c r="AL178">
        <v>1152</v>
      </c>
      <c r="AM178">
        <v>995</v>
      </c>
      <c r="AN178">
        <v>0</v>
      </c>
      <c r="AO178">
        <v>330</v>
      </c>
      <c r="AP178">
        <v>0</v>
      </c>
      <c r="AQ178">
        <v>2023</v>
      </c>
      <c r="AR178">
        <v>1619</v>
      </c>
      <c r="AS178">
        <v>0</v>
      </c>
      <c r="AT178">
        <v>14062</v>
      </c>
      <c r="AU178">
        <v>0</v>
      </c>
      <c r="AV178">
        <v>9636</v>
      </c>
      <c r="AW178">
        <v>5914</v>
      </c>
    </row>
    <row r="179" spans="1:49">
      <c r="A179">
        <v>2020</v>
      </c>
      <c r="B179" t="s">
        <v>98</v>
      </c>
      <c r="C179">
        <v>0</v>
      </c>
      <c r="D179">
        <v>15426</v>
      </c>
      <c r="E179">
        <v>0</v>
      </c>
      <c r="F179">
        <v>23748</v>
      </c>
      <c r="G179">
        <v>15542</v>
      </c>
      <c r="H179">
        <v>0</v>
      </c>
      <c r="I179">
        <v>26792</v>
      </c>
      <c r="J179">
        <v>23436</v>
      </c>
      <c r="K179">
        <v>0</v>
      </c>
      <c r="L179">
        <v>0</v>
      </c>
      <c r="M179">
        <v>1366</v>
      </c>
      <c r="N179">
        <v>0</v>
      </c>
      <c r="O179">
        <v>0</v>
      </c>
      <c r="P179">
        <v>0</v>
      </c>
      <c r="Q179">
        <v>139648</v>
      </c>
      <c r="R179">
        <v>10963</v>
      </c>
      <c r="S179">
        <v>191578</v>
      </c>
      <c r="T179">
        <v>0</v>
      </c>
      <c r="U179">
        <v>2458</v>
      </c>
      <c r="V179">
        <v>2782</v>
      </c>
      <c r="W179">
        <v>0</v>
      </c>
      <c r="X179">
        <v>0</v>
      </c>
      <c r="Y179">
        <v>4832</v>
      </c>
      <c r="Z179">
        <v>0</v>
      </c>
      <c r="AA179">
        <v>0</v>
      </c>
      <c r="AB179">
        <v>0</v>
      </c>
      <c r="AC179">
        <v>17662</v>
      </c>
      <c r="AD179">
        <v>8580</v>
      </c>
      <c r="AE179">
        <v>0</v>
      </c>
      <c r="AF179">
        <v>32965</v>
      </c>
      <c r="AG179">
        <v>12880</v>
      </c>
      <c r="AH179">
        <v>0</v>
      </c>
      <c r="AI179">
        <v>0</v>
      </c>
      <c r="AJ179">
        <v>0</v>
      </c>
      <c r="AK179">
        <v>7600</v>
      </c>
      <c r="AL179">
        <v>2080</v>
      </c>
      <c r="AM179">
        <v>9060</v>
      </c>
      <c r="AN179">
        <v>0</v>
      </c>
      <c r="AO179">
        <v>6881</v>
      </c>
      <c r="AP179">
        <v>0</v>
      </c>
      <c r="AQ179">
        <v>5246</v>
      </c>
      <c r="AR179">
        <v>4910</v>
      </c>
      <c r="AS179">
        <v>0</v>
      </c>
      <c r="AT179">
        <v>102654</v>
      </c>
      <c r="AU179">
        <v>122056</v>
      </c>
      <c r="AV179">
        <v>55348</v>
      </c>
      <c r="AW179">
        <v>44998</v>
      </c>
    </row>
    <row r="180" spans="1:49">
      <c r="A180">
        <v>2020</v>
      </c>
      <c r="B180" t="s">
        <v>97</v>
      </c>
      <c r="C180">
        <v>0</v>
      </c>
      <c r="D180">
        <v>0</v>
      </c>
      <c r="E180">
        <v>0</v>
      </c>
      <c r="F180">
        <v>15608</v>
      </c>
      <c r="G180">
        <v>0</v>
      </c>
      <c r="H180">
        <v>0</v>
      </c>
      <c r="I180">
        <v>12690</v>
      </c>
      <c r="J180">
        <v>2516</v>
      </c>
      <c r="K180">
        <v>0</v>
      </c>
      <c r="L180">
        <v>0</v>
      </c>
      <c r="M180">
        <v>1172</v>
      </c>
      <c r="N180">
        <v>0</v>
      </c>
      <c r="O180">
        <v>0</v>
      </c>
      <c r="P180">
        <v>0</v>
      </c>
      <c r="Q180">
        <v>40710</v>
      </c>
      <c r="R180">
        <v>1324</v>
      </c>
      <c r="S180">
        <v>33400</v>
      </c>
      <c r="T180">
        <v>0</v>
      </c>
      <c r="U180">
        <v>1080</v>
      </c>
      <c r="V180">
        <v>370</v>
      </c>
      <c r="W180">
        <v>0</v>
      </c>
      <c r="X180">
        <v>0</v>
      </c>
      <c r="Y180">
        <v>1744</v>
      </c>
      <c r="Z180">
        <v>0</v>
      </c>
      <c r="AA180">
        <v>0</v>
      </c>
      <c r="AB180">
        <v>0</v>
      </c>
      <c r="AC180">
        <v>12648</v>
      </c>
      <c r="AD180">
        <v>2054</v>
      </c>
      <c r="AE180">
        <v>0</v>
      </c>
      <c r="AF180">
        <v>0</v>
      </c>
      <c r="AG180">
        <v>10</v>
      </c>
      <c r="AH180">
        <v>0</v>
      </c>
      <c r="AI180">
        <v>0</v>
      </c>
      <c r="AJ180">
        <v>0</v>
      </c>
      <c r="AK180">
        <v>4122</v>
      </c>
      <c r="AL180">
        <v>1278</v>
      </c>
      <c r="AM180">
        <v>6040</v>
      </c>
      <c r="AN180">
        <v>0</v>
      </c>
      <c r="AO180">
        <v>0</v>
      </c>
      <c r="AP180">
        <v>0</v>
      </c>
      <c r="AQ180">
        <v>1420</v>
      </c>
      <c r="AR180">
        <v>3486</v>
      </c>
      <c r="AS180">
        <v>0</v>
      </c>
      <c r="AT180">
        <v>47092</v>
      </c>
      <c r="AU180">
        <v>0</v>
      </c>
      <c r="AV180">
        <v>6624</v>
      </c>
      <c r="AW180">
        <v>18586</v>
      </c>
    </row>
    <row r="181" spans="1:49">
      <c r="A181">
        <v>2020</v>
      </c>
      <c r="B181" t="s">
        <v>89</v>
      </c>
      <c r="F181">
        <v>103</v>
      </c>
      <c r="G181">
        <v>89</v>
      </c>
      <c r="I181">
        <v>397</v>
      </c>
      <c r="J181">
        <v>179</v>
      </c>
      <c r="M181">
        <v>32</v>
      </c>
      <c r="Q181">
        <v>228</v>
      </c>
      <c r="R181">
        <v>34</v>
      </c>
      <c r="U181">
        <v>8</v>
      </c>
      <c r="V181">
        <v>5</v>
      </c>
      <c r="Y181">
        <v>6</v>
      </c>
      <c r="AC181">
        <v>277</v>
      </c>
      <c r="AD181">
        <v>117</v>
      </c>
      <c r="AF181">
        <v>149</v>
      </c>
      <c r="AG181">
        <v>138</v>
      </c>
      <c r="AK181">
        <v>134</v>
      </c>
      <c r="AL181">
        <v>15</v>
      </c>
      <c r="AM181">
        <v>28</v>
      </c>
      <c r="AO181">
        <v>22</v>
      </c>
      <c r="AT181">
        <v>255</v>
      </c>
      <c r="AV181">
        <v>205</v>
      </c>
      <c r="AW181">
        <v>234</v>
      </c>
    </row>
    <row r="182" spans="1:49">
      <c r="A182">
        <v>2020</v>
      </c>
      <c r="B182" t="s">
        <v>87</v>
      </c>
      <c r="F182">
        <v>172</v>
      </c>
      <c r="G182">
        <v>28</v>
      </c>
      <c r="J182">
        <v>45</v>
      </c>
      <c r="Q182">
        <v>110</v>
      </c>
      <c r="R182">
        <v>32</v>
      </c>
      <c r="U182">
        <v>17</v>
      </c>
      <c r="V182">
        <v>0</v>
      </c>
      <c r="AC182">
        <v>318</v>
      </c>
      <c r="AF182">
        <v>204</v>
      </c>
      <c r="AG182">
        <v>43</v>
      </c>
      <c r="AL182">
        <v>66</v>
      </c>
      <c r="AM182">
        <v>128</v>
      </c>
      <c r="AO182">
        <v>28</v>
      </c>
      <c r="AV182">
        <v>453</v>
      </c>
    </row>
    <row r="183" spans="1:49">
      <c r="A183">
        <v>2020</v>
      </c>
      <c r="B183" t="s">
        <v>88</v>
      </c>
      <c r="G183">
        <v>33</v>
      </c>
      <c r="J183">
        <v>12</v>
      </c>
      <c r="R183">
        <v>9</v>
      </c>
      <c r="U183">
        <v>4</v>
      </c>
      <c r="V183">
        <v>8</v>
      </c>
      <c r="AF183">
        <v>0</v>
      </c>
      <c r="AK183">
        <v>13</v>
      </c>
      <c r="AL183">
        <v>530</v>
      </c>
      <c r="AR183">
        <v>2</v>
      </c>
    </row>
    <row r="184" spans="1:49">
      <c r="A184">
        <v>2020</v>
      </c>
      <c r="B184" t="s">
        <v>103</v>
      </c>
      <c r="F184">
        <v>718</v>
      </c>
      <c r="G184">
        <v>145</v>
      </c>
      <c r="I184">
        <v>1029</v>
      </c>
      <c r="J184">
        <v>337</v>
      </c>
      <c r="M184">
        <v>35</v>
      </c>
      <c r="Q184">
        <v>5394</v>
      </c>
      <c r="R184">
        <v>139</v>
      </c>
      <c r="S184">
        <v>1388</v>
      </c>
      <c r="U184">
        <v>0</v>
      </c>
      <c r="V184">
        <v>13</v>
      </c>
      <c r="Y184">
        <v>127</v>
      </c>
      <c r="AC184">
        <v>423</v>
      </c>
      <c r="AD184">
        <v>76</v>
      </c>
      <c r="AF184">
        <v>151</v>
      </c>
      <c r="AG184">
        <v>546</v>
      </c>
      <c r="AK184">
        <v>212</v>
      </c>
      <c r="AL184">
        <v>193</v>
      </c>
      <c r="AM184">
        <v>139</v>
      </c>
      <c r="AO184">
        <v>48</v>
      </c>
      <c r="AQ184">
        <v>54</v>
      </c>
      <c r="AR184">
        <v>232</v>
      </c>
      <c r="AT184">
        <v>1717</v>
      </c>
      <c r="AV184">
        <v>1082</v>
      </c>
      <c r="AW184">
        <v>1600</v>
      </c>
    </row>
    <row r="185" spans="1:49">
      <c r="A185">
        <v>2020</v>
      </c>
      <c r="B185" t="s">
        <v>102</v>
      </c>
      <c r="F185">
        <v>203</v>
      </c>
      <c r="G185">
        <v>435</v>
      </c>
      <c r="J185">
        <v>54</v>
      </c>
      <c r="M185">
        <v>71</v>
      </c>
      <c r="Q185">
        <v>10104</v>
      </c>
      <c r="R185">
        <v>179</v>
      </c>
      <c r="U185">
        <v>81</v>
      </c>
      <c r="V185">
        <v>73</v>
      </c>
      <c r="Y185">
        <v>486</v>
      </c>
      <c r="AC185">
        <v>2358</v>
      </c>
      <c r="AF185">
        <v>600</v>
      </c>
      <c r="AG185">
        <v>338</v>
      </c>
      <c r="AK185">
        <v>48</v>
      </c>
      <c r="AL185">
        <v>332</v>
      </c>
      <c r="AM185">
        <v>291</v>
      </c>
      <c r="AO185">
        <v>80</v>
      </c>
      <c r="AR185">
        <v>49</v>
      </c>
      <c r="AV185">
        <v>1544</v>
      </c>
    </row>
    <row r="186" spans="1:49">
      <c r="A186">
        <v>2020</v>
      </c>
      <c r="B186" t="s">
        <v>101</v>
      </c>
      <c r="G186">
        <v>10</v>
      </c>
      <c r="I186">
        <v>3734</v>
      </c>
      <c r="J186">
        <v>2098</v>
      </c>
      <c r="Q186">
        <v>1234</v>
      </c>
      <c r="R186">
        <v>615</v>
      </c>
      <c r="U186">
        <v>0</v>
      </c>
      <c r="V186">
        <v>2</v>
      </c>
      <c r="AF186">
        <v>0</v>
      </c>
      <c r="AG186">
        <v>54</v>
      </c>
      <c r="AK186">
        <v>662</v>
      </c>
      <c r="AL186">
        <v>650</v>
      </c>
      <c r="AM186">
        <v>623</v>
      </c>
      <c r="AV186">
        <v>5544</v>
      </c>
    </row>
    <row r="187" spans="1:49">
      <c r="A187">
        <v>2020</v>
      </c>
      <c r="B187" t="s">
        <v>92</v>
      </c>
      <c r="F187">
        <v>906</v>
      </c>
      <c r="G187">
        <v>167</v>
      </c>
      <c r="J187">
        <v>112</v>
      </c>
      <c r="Q187">
        <v>8005</v>
      </c>
      <c r="R187">
        <v>469</v>
      </c>
      <c r="U187">
        <v>13</v>
      </c>
      <c r="V187">
        <v>285</v>
      </c>
      <c r="AC187">
        <v>2041</v>
      </c>
      <c r="AF187">
        <v>743</v>
      </c>
      <c r="AG187">
        <v>99</v>
      </c>
      <c r="AK187">
        <v>101</v>
      </c>
      <c r="AL187">
        <v>114</v>
      </c>
      <c r="AM187">
        <v>635</v>
      </c>
      <c r="AR187">
        <v>589</v>
      </c>
      <c r="AV187">
        <v>19</v>
      </c>
    </row>
    <row r="188" spans="1:49">
      <c r="A188">
        <v>2020</v>
      </c>
      <c r="B188" t="s">
        <v>95</v>
      </c>
      <c r="F188">
        <v>274</v>
      </c>
      <c r="G188">
        <v>117</v>
      </c>
      <c r="J188">
        <v>73</v>
      </c>
      <c r="M188">
        <v>25</v>
      </c>
      <c r="R188">
        <v>82</v>
      </c>
      <c r="U188">
        <v>173</v>
      </c>
      <c r="V188">
        <v>3</v>
      </c>
      <c r="AC188">
        <v>301</v>
      </c>
      <c r="AF188">
        <v>0</v>
      </c>
      <c r="AK188">
        <v>121</v>
      </c>
      <c r="AM188">
        <v>16</v>
      </c>
      <c r="AO188">
        <v>53</v>
      </c>
      <c r="AR188">
        <v>280</v>
      </c>
      <c r="AV188">
        <v>1075</v>
      </c>
    </row>
    <row r="189" spans="1:49">
      <c r="A189">
        <v>2020</v>
      </c>
      <c r="B189" t="s">
        <v>93</v>
      </c>
      <c r="G189">
        <v>338</v>
      </c>
      <c r="J189">
        <v>48</v>
      </c>
      <c r="M189">
        <v>16</v>
      </c>
      <c r="Q189">
        <v>4752</v>
      </c>
      <c r="R189">
        <v>74</v>
      </c>
      <c r="U189">
        <v>0</v>
      </c>
      <c r="V189">
        <v>1</v>
      </c>
      <c r="AF189">
        <v>282</v>
      </c>
      <c r="AG189">
        <v>99</v>
      </c>
      <c r="AK189">
        <v>323</v>
      </c>
      <c r="AR189">
        <v>338</v>
      </c>
      <c r="AV189">
        <v>2506</v>
      </c>
    </row>
    <row r="190" spans="1:49">
      <c r="A190">
        <v>2020</v>
      </c>
      <c r="B190" t="s">
        <v>90</v>
      </c>
      <c r="F190">
        <v>275</v>
      </c>
      <c r="J190">
        <v>194</v>
      </c>
      <c r="Q190">
        <v>2378</v>
      </c>
      <c r="R190">
        <v>198</v>
      </c>
      <c r="U190">
        <v>67</v>
      </c>
      <c r="V190">
        <v>2</v>
      </c>
      <c r="AF190">
        <v>196</v>
      </c>
      <c r="AG190">
        <v>177</v>
      </c>
      <c r="AK190">
        <v>411</v>
      </c>
      <c r="AL190">
        <v>219</v>
      </c>
      <c r="AM190">
        <v>10</v>
      </c>
      <c r="AO190">
        <v>79</v>
      </c>
      <c r="AR190">
        <v>379</v>
      </c>
      <c r="AV190">
        <v>3830</v>
      </c>
    </row>
    <row r="191" spans="1:49">
      <c r="A191">
        <v>2020</v>
      </c>
      <c r="B191" t="s">
        <v>91</v>
      </c>
      <c r="J191">
        <v>5</v>
      </c>
      <c r="Q191">
        <v>508</v>
      </c>
      <c r="R191">
        <v>7</v>
      </c>
      <c r="U191">
        <v>237</v>
      </c>
      <c r="V191">
        <v>18</v>
      </c>
      <c r="AF191">
        <v>321</v>
      </c>
      <c r="AL191">
        <v>17</v>
      </c>
      <c r="AO191">
        <v>63</v>
      </c>
      <c r="AR191">
        <v>50</v>
      </c>
    </row>
    <row r="192" spans="1:49">
      <c r="A192">
        <v>2020</v>
      </c>
      <c r="B192" t="s">
        <v>86</v>
      </c>
      <c r="C192">
        <v>2652</v>
      </c>
      <c r="D192">
        <v>11845</v>
      </c>
      <c r="F192">
        <v>2923</v>
      </c>
      <c r="J192">
        <v>154</v>
      </c>
      <c r="P192">
        <v>6000</v>
      </c>
      <c r="Q192">
        <v>42630</v>
      </c>
      <c r="R192">
        <v>110</v>
      </c>
      <c r="U192">
        <v>0</v>
      </c>
      <c r="V192">
        <v>3711</v>
      </c>
      <c r="X192">
        <v>91653</v>
      </c>
      <c r="Y192">
        <v>12625</v>
      </c>
      <c r="AA192">
        <v>41616</v>
      </c>
      <c r="AB192">
        <v>3303</v>
      </c>
      <c r="AC192">
        <v>6696</v>
      </c>
      <c r="AE192">
        <v>163</v>
      </c>
      <c r="AF192">
        <v>0</v>
      </c>
      <c r="AH192">
        <v>21429</v>
      </c>
      <c r="AJ192">
        <v>58567</v>
      </c>
      <c r="AL192">
        <v>13966</v>
      </c>
      <c r="AM192">
        <v>2826</v>
      </c>
      <c r="AO192">
        <v>5386</v>
      </c>
      <c r="AQ192">
        <v>592</v>
      </c>
      <c r="AR192">
        <v>7386</v>
      </c>
      <c r="AV192">
        <v>41669</v>
      </c>
    </row>
    <row r="193" spans="1:49">
      <c r="A193">
        <v>2020</v>
      </c>
      <c r="B193" t="s">
        <v>104</v>
      </c>
      <c r="F193">
        <v>22</v>
      </c>
      <c r="G193">
        <v>66</v>
      </c>
      <c r="J193">
        <v>5</v>
      </c>
      <c r="Q193">
        <v>240</v>
      </c>
      <c r="R193">
        <v>17</v>
      </c>
      <c r="U193">
        <v>7</v>
      </c>
      <c r="V193">
        <v>4</v>
      </c>
      <c r="AC193">
        <v>108</v>
      </c>
      <c r="AF193">
        <v>152</v>
      </c>
      <c r="AG193">
        <v>134</v>
      </c>
      <c r="AK193">
        <v>1</v>
      </c>
      <c r="AL193">
        <v>6</v>
      </c>
      <c r="AO193">
        <v>10</v>
      </c>
      <c r="AR193">
        <v>230</v>
      </c>
      <c r="AV193">
        <v>1036</v>
      </c>
    </row>
    <row r="194" spans="1:49">
      <c r="A194">
        <v>2020</v>
      </c>
      <c r="B194" t="s">
        <v>99</v>
      </c>
      <c r="F194">
        <v>31</v>
      </c>
      <c r="G194">
        <v>3</v>
      </c>
      <c r="J194">
        <v>17</v>
      </c>
      <c r="Q194">
        <v>688</v>
      </c>
      <c r="R194">
        <v>3</v>
      </c>
      <c r="U194">
        <v>0</v>
      </c>
      <c r="V194">
        <v>4</v>
      </c>
      <c r="AC194">
        <v>870</v>
      </c>
      <c r="AF194">
        <v>54</v>
      </c>
      <c r="AK194">
        <v>2</v>
      </c>
      <c r="AL194">
        <v>57</v>
      </c>
      <c r="AM194">
        <v>197</v>
      </c>
      <c r="AO194">
        <v>9</v>
      </c>
      <c r="AQ194">
        <v>1</v>
      </c>
      <c r="AR194">
        <v>7</v>
      </c>
    </row>
    <row r="195" spans="1:49">
      <c r="A195">
        <v>2020</v>
      </c>
      <c r="B195" t="s">
        <v>85</v>
      </c>
      <c r="G195">
        <v>7</v>
      </c>
      <c r="J195">
        <v>2</v>
      </c>
      <c r="Q195">
        <v>4</v>
      </c>
      <c r="R195">
        <v>0</v>
      </c>
      <c r="U195">
        <v>0</v>
      </c>
      <c r="AF195">
        <v>0</v>
      </c>
      <c r="AK195">
        <v>1</v>
      </c>
      <c r="AO195">
        <v>7</v>
      </c>
      <c r="AR195">
        <v>83</v>
      </c>
    </row>
    <row r="196" spans="1:49">
      <c r="A196">
        <v>2020</v>
      </c>
      <c r="B196" t="s">
        <v>100</v>
      </c>
      <c r="F196">
        <v>3</v>
      </c>
      <c r="G196">
        <v>3</v>
      </c>
      <c r="J196">
        <v>207</v>
      </c>
      <c r="Q196">
        <v>654</v>
      </c>
      <c r="R196">
        <v>9</v>
      </c>
      <c r="U196">
        <v>20</v>
      </c>
      <c r="V196">
        <v>9</v>
      </c>
      <c r="AC196">
        <v>156</v>
      </c>
      <c r="AF196">
        <v>91</v>
      </c>
      <c r="AG196">
        <v>95</v>
      </c>
      <c r="AL196">
        <v>1</v>
      </c>
      <c r="AM196">
        <v>24</v>
      </c>
      <c r="AO196">
        <v>6</v>
      </c>
      <c r="AQ196">
        <v>1</v>
      </c>
      <c r="AR196">
        <v>3</v>
      </c>
    </row>
    <row r="197" spans="1:49">
      <c r="A197">
        <v>2020</v>
      </c>
      <c r="B197" t="s">
        <v>96</v>
      </c>
      <c r="J197">
        <v>19</v>
      </c>
      <c r="Q197">
        <v>22</v>
      </c>
      <c r="R197">
        <v>0</v>
      </c>
      <c r="U197">
        <v>0</v>
      </c>
      <c r="AF197">
        <v>0</v>
      </c>
      <c r="AR197">
        <v>6</v>
      </c>
    </row>
    <row r="198" spans="1:49">
      <c r="A198">
        <v>2020</v>
      </c>
      <c r="B198" t="s">
        <v>106</v>
      </c>
      <c r="J198">
        <v>48</v>
      </c>
      <c r="R198">
        <v>106</v>
      </c>
      <c r="U198">
        <v>0</v>
      </c>
      <c r="AC198">
        <v>154</v>
      </c>
      <c r="AF198">
        <v>0</v>
      </c>
      <c r="AK198">
        <v>491</v>
      </c>
      <c r="AO198">
        <v>22</v>
      </c>
      <c r="AR198">
        <v>21</v>
      </c>
    </row>
    <row r="199" spans="1:49">
      <c r="A199">
        <v>2020</v>
      </c>
      <c r="B199" t="s">
        <v>105</v>
      </c>
      <c r="F199">
        <v>8</v>
      </c>
      <c r="G199">
        <v>13</v>
      </c>
      <c r="J199">
        <v>6</v>
      </c>
      <c r="R199">
        <v>86</v>
      </c>
      <c r="U199">
        <v>0</v>
      </c>
      <c r="V199">
        <v>11</v>
      </c>
      <c r="AC199">
        <v>530</v>
      </c>
      <c r="AF199">
        <v>0</v>
      </c>
      <c r="AK199">
        <v>2</v>
      </c>
      <c r="AO199">
        <v>12</v>
      </c>
      <c r="AR199">
        <v>65</v>
      </c>
    </row>
    <row r="200" spans="1:49">
      <c r="A200">
        <v>2021</v>
      </c>
      <c r="B200" t="s">
        <v>94</v>
      </c>
      <c r="C200">
        <v>0</v>
      </c>
      <c r="D200">
        <v>1816</v>
      </c>
      <c r="E200">
        <v>5861</v>
      </c>
      <c r="F200">
        <v>4684</v>
      </c>
      <c r="G200">
        <v>2028</v>
      </c>
      <c r="H200">
        <v>561</v>
      </c>
      <c r="I200">
        <v>9902</v>
      </c>
      <c r="J200">
        <v>7653</v>
      </c>
      <c r="K200">
        <v>33978</v>
      </c>
      <c r="L200">
        <v>0</v>
      </c>
      <c r="M200">
        <v>0</v>
      </c>
      <c r="N200">
        <v>0</v>
      </c>
      <c r="O200">
        <v>0</v>
      </c>
      <c r="P200">
        <v>636</v>
      </c>
      <c r="Q200">
        <v>25424</v>
      </c>
      <c r="R200">
        <v>0</v>
      </c>
      <c r="S200">
        <v>8338</v>
      </c>
      <c r="T200">
        <v>0</v>
      </c>
      <c r="U200">
        <v>651</v>
      </c>
      <c r="V200">
        <v>916</v>
      </c>
      <c r="W200">
        <v>0</v>
      </c>
      <c r="X200">
        <v>12377</v>
      </c>
      <c r="Y200">
        <v>1861</v>
      </c>
      <c r="Z200">
        <v>0</v>
      </c>
      <c r="AA200">
        <v>0</v>
      </c>
      <c r="AB200">
        <v>0</v>
      </c>
      <c r="AC200">
        <v>6016</v>
      </c>
      <c r="AD200">
        <v>2070</v>
      </c>
      <c r="AE200">
        <v>0</v>
      </c>
      <c r="AF200">
        <v>0</v>
      </c>
      <c r="AG200">
        <v>2549</v>
      </c>
      <c r="AH200">
        <v>0</v>
      </c>
      <c r="AI200">
        <v>168695</v>
      </c>
      <c r="AJ200">
        <v>0</v>
      </c>
      <c r="AK200">
        <v>4634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2260</v>
      </c>
      <c r="AR200">
        <v>1369</v>
      </c>
      <c r="AS200">
        <v>0</v>
      </c>
      <c r="AT200">
        <v>0</v>
      </c>
      <c r="AU200">
        <v>99093</v>
      </c>
      <c r="AV200">
        <v>11546</v>
      </c>
      <c r="AW200">
        <v>0</v>
      </c>
    </row>
    <row r="201" spans="1:49">
      <c r="A201">
        <v>2021</v>
      </c>
      <c r="B201" t="s">
        <v>98</v>
      </c>
      <c r="C201">
        <v>0</v>
      </c>
      <c r="D201">
        <v>18744</v>
      </c>
      <c r="E201">
        <v>10968</v>
      </c>
      <c r="F201">
        <v>24378</v>
      </c>
      <c r="G201">
        <v>15772</v>
      </c>
      <c r="H201">
        <v>1010</v>
      </c>
      <c r="I201">
        <v>25774</v>
      </c>
      <c r="J201">
        <v>9254</v>
      </c>
      <c r="K201">
        <v>203504</v>
      </c>
      <c r="L201">
        <v>0</v>
      </c>
      <c r="M201">
        <v>0</v>
      </c>
      <c r="N201">
        <v>0</v>
      </c>
      <c r="O201">
        <v>0</v>
      </c>
      <c r="P201">
        <v>9362</v>
      </c>
      <c r="Q201">
        <v>139648</v>
      </c>
      <c r="R201">
        <v>0</v>
      </c>
      <c r="S201">
        <v>186288</v>
      </c>
      <c r="T201">
        <v>0</v>
      </c>
      <c r="U201">
        <v>2808</v>
      </c>
      <c r="V201">
        <v>3912</v>
      </c>
      <c r="W201">
        <v>0</v>
      </c>
      <c r="X201">
        <v>69176</v>
      </c>
      <c r="Y201">
        <v>3522</v>
      </c>
      <c r="Z201">
        <v>0</v>
      </c>
      <c r="AA201">
        <v>0</v>
      </c>
      <c r="AB201">
        <v>0</v>
      </c>
      <c r="AC201">
        <v>21856</v>
      </c>
      <c r="AD201">
        <v>12312</v>
      </c>
      <c r="AE201">
        <v>0</v>
      </c>
      <c r="AF201">
        <v>0</v>
      </c>
      <c r="AG201">
        <v>14332</v>
      </c>
      <c r="AH201">
        <v>0</v>
      </c>
      <c r="AI201">
        <v>535392</v>
      </c>
      <c r="AJ201">
        <v>0</v>
      </c>
      <c r="AK201">
        <v>12954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5354</v>
      </c>
      <c r="AR201">
        <v>3892</v>
      </c>
      <c r="AS201">
        <v>0</v>
      </c>
      <c r="AT201">
        <v>0</v>
      </c>
      <c r="AU201">
        <v>0</v>
      </c>
      <c r="AV201">
        <v>65084</v>
      </c>
      <c r="AW201">
        <v>0</v>
      </c>
    </row>
    <row r="202" spans="1:49">
      <c r="A202">
        <v>2021</v>
      </c>
      <c r="B202" t="s">
        <v>97</v>
      </c>
      <c r="C202">
        <v>0</v>
      </c>
      <c r="D202">
        <v>286</v>
      </c>
      <c r="E202">
        <v>4172</v>
      </c>
      <c r="F202">
        <v>16104</v>
      </c>
      <c r="G202">
        <v>0</v>
      </c>
      <c r="H202">
        <v>1074</v>
      </c>
      <c r="I202">
        <v>14148</v>
      </c>
      <c r="J202">
        <v>1408</v>
      </c>
      <c r="K202">
        <v>4186</v>
      </c>
      <c r="L202">
        <v>0</v>
      </c>
      <c r="M202">
        <v>0</v>
      </c>
      <c r="N202">
        <v>0</v>
      </c>
      <c r="O202">
        <v>0</v>
      </c>
      <c r="P202">
        <v>134</v>
      </c>
      <c r="Q202">
        <v>40710</v>
      </c>
      <c r="R202">
        <v>0</v>
      </c>
      <c r="S202">
        <v>38282</v>
      </c>
      <c r="T202">
        <v>0</v>
      </c>
      <c r="U202">
        <v>758</v>
      </c>
      <c r="V202">
        <v>426</v>
      </c>
      <c r="W202">
        <v>0</v>
      </c>
      <c r="X202">
        <v>0</v>
      </c>
      <c r="Y202">
        <v>1590</v>
      </c>
      <c r="Z202">
        <v>0</v>
      </c>
      <c r="AA202">
        <v>0</v>
      </c>
      <c r="AB202">
        <v>0</v>
      </c>
      <c r="AC202">
        <v>14556</v>
      </c>
      <c r="AD202">
        <v>2504</v>
      </c>
      <c r="AE202">
        <v>0</v>
      </c>
      <c r="AF202">
        <v>0</v>
      </c>
      <c r="AG202">
        <v>12</v>
      </c>
      <c r="AH202">
        <v>0</v>
      </c>
      <c r="AI202">
        <v>263844</v>
      </c>
      <c r="AJ202">
        <v>0</v>
      </c>
      <c r="AK202">
        <v>5478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1442</v>
      </c>
      <c r="AR202">
        <v>2964</v>
      </c>
      <c r="AS202">
        <v>0</v>
      </c>
      <c r="AT202">
        <v>0</v>
      </c>
      <c r="AU202">
        <v>0</v>
      </c>
      <c r="AV202">
        <v>7492</v>
      </c>
      <c r="AW202">
        <v>0</v>
      </c>
    </row>
    <row r="203" spans="1:49">
      <c r="A203">
        <v>2021</v>
      </c>
      <c r="B203" t="s">
        <v>89</v>
      </c>
      <c r="E203">
        <v>50</v>
      </c>
      <c r="F203">
        <v>107</v>
      </c>
      <c r="G203">
        <v>89</v>
      </c>
      <c r="H203">
        <v>2</v>
      </c>
      <c r="I203">
        <v>416</v>
      </c>
      <c r="J203">
        <v>133</v>
      </c>
      <c r="K203">
        <v>268</v>
      </c>
      <c r="P203">
        <v>60</v>
      </c>
      <c r="S203">
        <v>0</v>
      </c>
      <c r="U203">
        <v>9</v>
      </c>
      <c r="V203">
        <v>2</v>
      </c>
      <c r="Y203">
        <v>6</v>
      </c>
      <c r="AC203">
        <v>355</v>
      </c>
      <c r="AD203">
        <v>121</v>
      </c>
      <c r="AG203">
        <v>161</v>
      </c>
      <c r="AI203">
        <v>4358</v>
      </c>
      <c r="AK203">
        <v>176</v>
      </c>
      <c r="AP203">
        <v>0</v>
      </c>
      <c r="AQ203">
        <v>19</v>
      </c>
      <c r="AR203">
        <v>13</v>
      </c>
      <c r="AU203">
        <v>6586</v>
      </c>
      <c r="AV203">
        <v>269</v>
      </c>
    </row>
    <row r="204" spans="1:49">
      <c r="A204">
        <v>2021</v>
      </c>
      <c r="B204" t="s">
        <v>87</v>
      </c>
      <c r="E204">
        <v>6</v>
      </c>
      <c r="F204">
        <v>168</v>
      </c>
      <c r="G204">
        <v>26</v>
      </c>
      <c r="J204">
        <v>97</v>
      </c>
      <c r="P204">
        <v>154</v>
      </c>
      <c r="S204">
        <v>396</v>
      </c>
      <c r="U204">
        <v>16</v>
      </c>
      <c r="V204">
        <v>21</v>
      </c>
      <c r="X204">
        <v>246</v>
      </c>
      <c r="AC204">
        <v>340</v>
      </c>
      <c r="AG204">
        <v>48</v>
      </c>
      <c r="AI204">
        <v>11781</v>
      </c>
      <c r="AK204">
        <v>28</v>
      </c>
      <c r="AP204">
        <v>0</v>
      </c>
      <c r="AQ204">
        <v>11</v>
      </c>
      <c r="AU204">
        <v>6165</v>
      </c>
      <c r="AV204">
        <v>499</v>
      </c>
    </row>
    <row r="205" spans="1:49">
      <c r="A205">
        <v>2021</v>
      </c>
      <c r="B205" t="s">
        <v>88</v>
      </c>
      <c r="G205">
        <v>35</v>
      </c>
      <c r="J205">
        <v>3</v>
      </c>
      <c r="S205">
        <v>0</v>
      </c>
      <c r="U205">
        <v>6</v>
      </c>
      <c r="V205">
        <v>3</v>
      </c>
      <c r="X205">
        <v>261</v>
      </c>
      <c r="AI205">
        <v>11408</v>
      </c>
      <c r="AK205">
        <v>94</v>
      </c>
      <c r="AP205">
        <v>0</v>
      </c>
      <c r="AQ205">
        <v>4</v>
      </c>
      <c r="AR205">
        <v>2</v>
      </c>
    </row>
    <row r="206" spans="1:49">
      <c r="A206">
        <v>2021</v>
      </c>
      <c r="B206" t="s">
        <v>103</v>
      </c>
      <c r="D206">
        <v>99</v>
      </c>
      <c r="E206">
        <v>403</v>
      </c>
      <c r="F206">
        <v>691</v>
      </c>
      <c r="G206">
        <v>158</v>
      </c>
      <c r="H206">
        <v>2</v>
      </c>
      <c r="I206">
        <v>1117</v>
      </c>
      <c r="J206">
        <v>264</v>
      </c>
      <c r="K206">
        <v>682</v>
      </c>
      <c r="P206">
        <v>208</v>
      </c>
      <c r="Q206">
        <v>15498</v>
      </c>
      <c r="S206">
        <v>1035</v>
      </c>
      <c r="U206">
        <v>4</v>
      </c>
      <c r="V206">
        <v>2</v>
      </c>
      <c r="X206">
        <v>1137</v>
      </c>
      <c r="Y206">
        <v>124</v>
      </c>
      <c r="AC206">
        <v>406</v>
      </c>
      <c r="AD206">
        <v>75</v>
      </c>
      <c r="AG206">
        <v>603</v>
      </c>
      <c r="AI206">
        <v>17331</v>
      </c>
      <c r="AK206">
        <v>293</v>
      </c>
      <c r="AP206">
        <v>0</v>
      </c>
      <c r="AQ206">
        <v>142</v>
      </c>
      <c r="AR206">
        <v>21</v>
      </c>
      <c r="AV206">
        <v>1376</v>
      </c>
    </row>
    <row r="207" spans="1:49">
      <c r="A207">
        <v>2021</v>
      </c>
      <c r="B207" t="s">
        <v>102</v>
      </c>
      <c r="D207">
        <v>6</v>
      </c>
      <c r="E207">
        <v>56</v>
      </c>
      <c r="F207">
        <v>203</v>
      </c>
      <c r="G207">
        <v>413</v>
      </c>
      <c r="I207">
        <v>215</v>
      </c>
      <c r="J207">
        <v>324</v>
      </c>
      <c r="K207">
        <v>313</v>
      </c>
      <c r="P207">
        <v>280</v>
      </c>
      <c r="S207">
        <v>1096</v>
      </c>
      <c r="U207">
        <v>94</v>
      </c>
      <c r="V207">
        <v>76</v>
      </c>
      <c r="X207">
        <v>1780</v>
      </c>
      <c r="Y207">
        <v>472</v>
      </c>
      <c r="AC207">
        <v>3039</v>
      </c>
      <c r="AG207">
        <v>372</v>
      </c>
      <c r="AK207">
        <v>40</v>
      </c>
      <c r="AP207">
        <v>0</v>
      </c>
      <c r="AQ207">
        <v>277</v>
      </c>
      <c r="AR207">
        <v>44</v>
      </c>
      <c r="AV207">
        <v>1944</v>
      </c>
    </row>
    <row r="208" spans="1:49">
      <c r="A208">
        <v>2021</v>
      </c>
      <c r="B208" t="s">
        <v>101</v>
      </c>
      <c r="E208">
        <v>382</v>
      </c>
      <c r="G208">
        <v>11</v>
      </c>
      <c r="I208">
        <v>3480</v>
      </c>
      <c r="S208">
        <v>0</v>
      </c>
      <c r="U208">
        <v>0</v>
      </c>
      <c r="V208">
        <v>0</v>
      </c>
      <c r="X208">
        <v>8087</v>
      </c>
      <c r="AG208">
        <v>63</v>
      </c>
      <c r="AK208">
        <v>917</v>
      </c>
      <c r="AP208">
        <v>0</v>
      </c>
      <c r="AR208">
        <v>813</v>
      </c>
      <c r="AU208">
        <v>3870</v>
      </c>
      <c r="AV208">
        <v>8281</v>
      </c>
    </row>
    <row r="209" spans="1:49">
      <c r="A209">
        <v>2021</v>
      </c>
      <c r="B209" t="s">
        <v>92</v>
      </c>
      <c r="F209">
        <v>899</v>
      </c>
      <c r="G209">
        <v>161</v>
      </c>
      <c r="J209">
        <v>2247</v>
      </c>
      <c r="P209">
        <v>298</v>
      </c>
      <c r="S209">
        <v>1759</v>
      </c>
      <c r="U209">
        <v>18</v>
      </c>
      <c r="V209">
        <v>200</v>
      </c>
      <c r="X209">
        <v>5019</v>
      </c>
      <c r="AC209">
        <v>1912</v>
      </c>
      <c r="AI209">
        <v>37181</v>
      </c>
      <c r="AK209">
        <v>434</v>
      </c>
      <c r="AP209">
        <v>0</v>
      </c>
      <c r="AQ209">
        <v>848</v>
      </c>
      <c r="AR209">
        <v>446</v>
      </c>
      <c r="AU209">
        <v>6166</v>
      </c>
      <c r="AV209">
        <v>19</v>
      </c>
    </row>
    <row r="210" spans="1:49">
      <c r="A210">
        <v>2021</v>
      </c>
      <c r="B210" t="s">
        <v>95</v>
      </c>
      <c r="D210">
        <v>81</v>
      </c>
      <c r="E210">
        <v>352</v>
      </c>
      <c r="F210">
        <v>209</v>
      </c>
      <c r="G210">
        <v>123</v>
      </c>
      <c r="J210">
        <v>267</v>
      </c>
      <c r="K210">
        <v>439</v>
      </c>
      <c r="P210">
        <v>137</v>
      </c>
      <c r="S210">
        <v>1673</v>
      </c>
      <c r="U210">
        <v>172</v>
      </c>
      <c r="V210">
        <v>2</v>
      </c>
      <c r="X210">
        <v>717</v>
      </c>
      <c r="AC210">
        <v>264</v>
      </c>
      <c r="AK210">
        <v>123</v>
      </c>
      <c r="AP210">
        <v>0</v>
      </c>
      <c r="AR210">
        <v>95</v>
      </c>
      <c r="AU210">
        <v>9281</v>
      </c>
      <c r="AV210">
        <v>1375</v>
      </c>
    </row>
    <row r="211" spans="1:49">
      <c r="A211">
        <v>2021</v>
      </c>
      <c r="B211" t="s">
        <v>93</v>
      </c>
      <c r="D211">
        <v>729</v>
      </c>
      <c r="E211">
        <v>1744</v>
      </c>
      <c r="G211">
        <v>337</v>
      </c>
      <c r="H211">
        <v>47</v>
      </c>
      <c r="J211">
        <v>249</v>
      </c>
      <c r="P211">
        <v>267</v>
      </c>
      <c r="S211">
        <v>6276</v>
      </c>
      <c r="U211">
        <v>0</v>
      </c>
      <c r="V211">
        <v>1</v>
      </c>
      <c r="AC211">
        <v>301</v>
      </c>
      <c r="AG211">
        <v>99</v>
      </c>
      <c r="AI211">
        <v>34554</v>
      </c>
      <c r="AK211">
        <v>14</v>
      </c>
      <c r="AP211">
        <v>0</v>
      </c>
      <c r="AQ211">
        <v>848</v>
      </c>
      <c r="AR211">
        <v>149</v>
      </c>
      <c r="AU211">
        <v>6353</v>
      </c>
      <c r="AV211">
        <v>3182</v>
      </c>
    </row>
    <row r="212" spans="1:49">
      <c r="A212">
        <v>2021</v>
      </c>
      <c r="B212" t="s">
        <v>90</v>
      </c>
      <c r="E212">
        <v>311</v>
      </c>
      <c r="H212">
        <v>25</v>
      </c>
      <c r="K212">
        <v>665</v>
      </c>
      <c r="S212">
        <v>6</v>
      </c>
      <c r="U212">
        <v>44</v>
      </c>
      <c r="V212">
        <v>1</v>
      </c>
      <c r="X212">
        <v>5029</v>
      </c>
      <c r="AG212">
        <v>209</v>
      </c>
      <c r="AI212">
        <v>1234</v>
      </c>
      <c r="AK212">
        <v>53</v>
      </c>
      <c r="AP212">
        <v>0</v>
      </c>
      <c r="AR212">
        <v>342</v>
      </c>
      <c r="AU212">
        <v>4196</v>
      </c>
      <c r="AV212">
        <v>4646</v>
      </c>
    </row>
    <row r="213" spans="1:49">
      <c r="A213">
        <v>2021</v>
      </c>
      <c r="B213" t="s">
        <v>91</v>
      </c>
      <c r="H213">
        <v>39</v>
      </c>
      <c r="P213">
        <v>234</v>
      </c>
      <c r="S213">
        <v>0</v>
      </c>
      <c r="U213">
        <v>252</v>
      </c>
      <c r="V213">
        <v>28</v>
      </c>
      <c r="AP213">
        <v>0</v>
      </c>
      <c r="AR213">
        <v>86</v>
      </c>
      <c r="AU213">
        <v>549</v>
      </c>
    </row>
    <row r="214" spans="1:49">
      <c r="A214">
        <v>2021</v>
      </c>
      <c r="B214" t="s">
        <v>86</v>
      </c>
      <c r="E214">
        <v>21</v>
      </c>
      <c r="F214">
        <v>2947</v>
      </c>
      <c r="H214">
        <v>1595</v>
      </c>
      <c r="P214">
        <v>2626</v>
      </c>
      <c r="Q214">
        <v>42630</v>
      </c>
      <c r="S214">
        <v>0</v>
      </c>
      <c r="U214">
        <v>0</v>
      </c>
      <c r="V214">
        <v>0</v>
      </c>
      <c r="X214">
        <v>86490</v>
      </c>
      <c r="AA214">
        <v>41616</v>
      </c>
      <c r="AC214">
        <v>7329</v>
      </c>
      <c r="AI214">
        <v>7912</v>
      </c>
      <c r="AK214">
        <v>16443</v>
      </c>
      <c r="AP214">
        <v>0</v>
      </c>
      <c r="AQ214">
        <v>8077</v>
      </c>
      <c r="AR214">
        <v>7500</v>
      </c>
    </row>
    <row r="215" spans="1:49">
      <c r="A215">
        <v>2021</v>
      </c>
      <c r="B215" t="s">
        <v>104</v>
      </c>
      <c r="E215">
        <v>187</v>
      </c>
      <c r="G215">
        <v>42</v>
      </c>
      <c r="I215">
        <v>97</v>
      </c>
      <c r="J215">
        <v>21</v>
      </c>
      <c r="K215">
        <v>680</v>
      </c>
      <c r="P215">
        <v>131</v>
      </c>
      <c r="S215">
        <v>159</v>
      </c>
      <c r="U215">
        <v>1</v>
      </c>
      <c r="V215">
        <v>6</v>
      </c>
      <c r="X215">
        <v>718</v>
      </c>
      <c r="AC215">
        <v>123</v>
      </c>
      <c r="AG215">
        <v>140</v>
      </c>
      <c r="AP215">
        <v>20</v>
      </c>
      <c r="AR215">
        <v>161</v>
      </c>
      <c r="AU215">
        <v>8345</v>
      </c>
      <c r="AV215">
        <v>1324</v>
      </c>
    </row>
    <row r="216" spans="1:49">
      <c r="A216">
        <v>2021</v>
      </c>
      <c r="B216" t="s">
        <v>99</v>
      </c>
      <c r="D216">
        <v>7</v>
      </c>
      <c r="E216">
        <v>44</v>
      </c>
      <c r="F216">
        <v>35</v>
      </c>
      <c r="G216">
        <v>3</v>
      </c>
      <c r="J216">
        <v>65</v>
      </c>
      <c r="K216">
        <v>1385</v>
      </c>
      <c r="S216">
        <v>887</v>
      </c>
      <c r="U216">
        <v>0</v>
      </c>
      <c r="V216">
        <v>2</v>
      </c>
      <c r="X216">
        <v>1985</v>
      </c>
      <c r="AC216">
        <v>1172</v>
      </c>
      <c r="AK216">
        <v>8</v>
      </c>
      <c r="AP216">
        <v>3</v>
      </c>
      <c r="AQ216">
        <v>77</v>
      </c>
      <c r="AR216">
        <v>14</v>
      </c>
      <c r="AU216">
        <v>216</v>
      </c>
    </row>
    <row r="217" spans="1:49">
      <c r="A217">
        <v>2021</v>
      </c>
      <c r="B217" t="s">
        <v>85</v>
      </c>
      <c r="D217">
        <v>5</v>
      </c>
      <c r="G217">
        <v>8</v>
      </c>
      <c r="S217">
        <v>9</v>
      </c>
      <c r="U217">
        <v>0</v>
      </c>
      <c r="V217">
        <v>0</v>
      </c>
      <c r="AP217">
        <v>5</v>
      </c>
      <c r="AR217">
        <v>33</v>
      </c>
      <c r="AU217">
        <v>4037</v>
      </c>
    </row>
    <row r="218" spans="1:49">
      <c r="A218">
        <v>2021</v>
      </c>
      <c r="B218" t="s">
        <v>100</v>
      </c>
      <c r="F218">
        <v>3</v>
      </c>
      <c r="G218">
        <v>6</v>
      </c>
      <c r="P218">
        <v>99</v>
      </c>
      <c r="Q218">
        <v>567</v>
      </c>
      <c r="S218">
        <v>235</v>
      </c>
      <c r="U218">
        <v>18</v>
      </c>
      <c r="V218">
        <v>10</v>
      </c>
      <c r="AC218">
        <v>151</v>
      </c>
      <c r="AG218">
        <v>99</v>
      </c>
      <c r="AI218">
        <v>5485</v>
      </c>
      <c r="AK218">
        <v>107</v>
      </c>
      <c r="AP218">
        <v>22</v>
      </c>
      <c r="AR218">
        <v>1</v>
      </c>
      <c r="AU218">
        <v>4012</v>
      </c>
    </row>
    <row r="219" spans="1:49">
      <c r="A219">
        <v>2021</v>
      </c>
      <c r="B219" t="s">
        <v>96</v>
      </c>
      <c r="Q219">
        <v>17</v>
      </c>
      <c r="S219">
        <v>0</v>
      </c>
      <c r="U219">
        <v>0</v>
      </c>
      <c r="V219">
        <v>0</v>
      </c>
      <c r="AI219">
        <v>37181</v>
      </c>
      <c r="AK219">
        <v>4</v>
      </c>
      <c r="AP219">
        <v>4</v>
      </c>
      <c r="AR219">
        <v>17</v>
      </c>
    </row>
    <row r="220" spans="1:49">
      <c r="A220">
        <v>2021</v>
      </c>
      <c r="B220" t="s">
        <v>106</v>
      </c>
      <c r="J220">
        <v>584</v>
      </c>
      <c r="P220">
        <v>6</v>
      </c>
      <c r="S220">
        <v>0</v>
      </c>
      <c r="U220">
        <v>0</v>
      </c>
      <c r="V220">
        <v>16</v>
      </c>
      <c r="X220">
        <v>749</v>
      </c>
      <c r="AC220">
        <v>153</v>
      </c>
      <c r="AK220">
        <v>173</v>
      </c>
      <c r="AP220">
        <v>2</v>
      </c>
      <c r="AR220">
        <v>23</v>
      </c>
    </row>
    <row r="221" spans="1:49">
      <c r="A221">
        <v>2021</v>
      </c>
      <c r="B221" t="s">
        <v>105</v>
      </c>
      <c r="D221">
        <v>15</v>
      </c>
      <c r="F221">
        <v>8</v>
      </c>
      <c r="G221">
        <v>15</v>
      </c>
      <c r="J221">
        <v>44</v>
      </c>
      <c r="P221">
        <v>7</v>
      </c>
      <c r="S221">
        <v>48</v>
      </c>
      <c r="U221">
        <v>0</v>
      </c>
      <c r="V221">
        <v>12</v>
      </c>
      <c r="AC221">
        <v>610</v>
      </c>
      <c r="AP221">
        <v>6</v>
      </c>
      <c r="AR221">
        <v>69</v>
      </c>
      <c r="AU221">
        <v>9125</v>
      </c>
    </row>
    <row r="222" spans="1:49">
      <c r="A222">
        <v>2022</v>
      </c>
      <c r="B222" t="s">
        <v>94</v>
      </c>
      <c r="C222">
        <v>21301</v>
      </c>
      <c r="D222">
        <v>0</v>
      </c>
      <c r="E222">
        <v>5567</v>
      </c>
      <c r="F222">
        <v>7587</v>
      </c>
      <c r="G222">
        <v>1984</v>
      </c>
      <c r="H222">
        <v>0</v>
      </c>
      <c r="I222">
        <v>9860</v>
      </c>
      <c r="J222">
        <v>8865</v>
      </c>
      <c r="K222">
        <v>36986</v>
      </c>
      <c r="L222">
        <v>2339</v>
      </c>
      <c r="M222">
        <v>0</v>
      </c>
      <c r="N222">
        <v>5532</v>
      </c>
      <c r="O222">
        <v>0</v>
      </c>
      <c r="P222">
        <v>584</v>
      </c>
      <c r="Q222">
        <v>35754</v>
      </c>
      <c r="R222">
        <v>2832</v>
      </c>
      <c r="S222">
        <v>9452</v>
      </c>
      <c r="T222">
        <v>856</v>
      </c>
      <c r="U222">
        <v>0</v>
      </c>
      <c r="V222">
        <v>885</v>
      </c>
      <c r="W222">
        <v>478</v>
      </c>
      <c r="X222">
        <v>13340</v>
      </c>
      <c r="Y222">
        <v>2025</v>
      </c>
      <c r="Z222">
        <v>748</v>
      </c>
      <c r="AA222">
        <v>0</v>
      </c>
      <c r="AB222">
        <v>8998</v>
      </c>
      <c r="AC222">
        <v>6140</v>
      </c>
      <c r="AD222">
        <v>2236</v>
      </c>
      <c r="AE222">
        <v>3224</v>
      </c>
      <c r="AF222">
        <v>2121</v>
      </c>
      <c r="AG222">
        <v>3012</v>
      </c>
      <c r="AH222">
        <v>1415</v>
      </c>
      <c r="AI222">
        <v>172576</v>
      </c>
      <c r="AJ222">
        <v>0</v>
      </c>
      <c r="AK222">
        <v>4876</v>
      </c>
      <c r="AL222">
        <v>753</v>
      </c>
      <c r="AM222">
        <v>0</v>
      </c>
      <c r="AN222">
        <v>0</v>
      </c>
      <c r="AO222">
        <v>4063</v>
      </c>
      <c r="AP222">
        <v>923</v>
      </c>
      <c r="AQ222">
        <v>3311</v>
      </c>
      <c r="AR222">
        <v>1641</v>
      </c>
      <c r="AS222">
        <v>17386</v>
      </c>
      <c r="AT222">
        <v>17454</v>
      </c>
      <c r="AU222">
        <v>0</v>
      </c>
      <c r="AV222">
        <v>11020</v>
      </c>
      <c r="AW222">
        <v>6133</v>
      </c>
    </row>
    <row r="223" spans="1:49">
      <c r="A223">
        <v>2022</v>
      </c>
      <c r="B223" t="s">
        <v>98</v>
      </c>
      <c r="C223">
        <v>89978</v>
      </c>
      <c r="D223">
        <v>0</v>
      </c>
      <c r="E223">
        <v>11786</v>
      </c>
      <c r="F223">
        <v>27922</v>
      </c>
      <c r="G223">
        <v>16056</v>
      </c>
      <c r="H223">
        <v>0</v>
      </c>
      <c r="I223">
        <v>29958</v>
      </c>
      <c r="J223">
        <v>32946</v>
      </c>
      <c r="K223">
        <v>230632</v>
      </c>
      <c r="L223">
        <v>11146</v>
      </c>
      <c r="M223">
        <v>0</v>
      </c>
      <c r="N223">
        <v>1882</v>
      </c>
      <c r="O223">
        <v>0</v>
      </c>
      <c r="P223">
        <v>10014</v>
      </c>
      <c r="Q223">
        <v>140492</v>
      </c>
      <c r="R223">
        <v>8554</v>
      </c>
      <c r="S223">
        <v>205886</v>
      </c>
      <c r="T223">
        <v>8734</v>
      </c>
      <c r="U223">
        <v>0</v>
      </c>
      <c r="V223">
        <v>3758</v>
      </c>
      <c r="W223">
        <v>2750</v>
      </c>
      <c r="X223">
        <v>69268</v>
      </c>
      <c r="Y223">
        <v>6880</v>
      </c>
      <c r="Z223">
        <v>0</v>
      </c>
      <c r="AA223">
        <v>0</v>
      </c>
      <c r="AB223">
        <v>12654</v>
      </c>
      <c r="AC223">
        <v>19550</v>
      </c>
      <c r="AD223">
        <v>13006</v>
      </c>
      <c r="AE223">
        <v>7800</v>
      </c>
      <c r="AF223">
        <v>19184</v>
      </c>
      <c r="AG223">
        <v>17210</v>
      </c>
      <c r="AH223">
        <v>9130</v>
      </c>
      <c r="AI223">
        <v>441362</v>
      </c>
      <c r="AJ223">
        <v>0</v>
      </c>
      <c r="AK223">
        <v>9474</v>
      </c>
      <c r="AL223">
        <v>14712</v>
      </c>
      <c r="AM223">
        <v>0</v>
      </c>
      <c r="AN223">
        <v>0</v>
      </c>
      <c r="AO223">
        <v>7648</v>
      </c>
      <c r="AP223">
        <v>1246</v>
      </c>
      <c r="AQ223">
        <v>5866</v>
      </c>
      <c r="AR223">
        <v>5260</v>
      </c>
      <c r="AS223">
        <v>0</v>
      </c>
      <c r="AT223">
        <v>148394</v>
      </c>
      <c r="AU223">
        <v>0</v>
      </c>
      <c r="AV223">
        <v>67558</v>
      </c>
      <c r="AW223">
        <v>64364</v>
      </c>
    </row>
    <row r="224" spans="1:49">
      <c r="A224">
        <v>2022</v>
      </c>
      <c r="B224" t="s">
        <v>97</v>
      </c>
      <c r="C224">
        <v>44</v>
      </c>
      <c r="D224">
        <v>0</v>
      </c>
      <c r="E224">
        <v>4110</v>
      </c>
      <c r="F224">
        <v>18588</v>
      </c>
      <c r="G224">
        <v>0</v>
      </c>
      <c r="H224">
        <v>0</v>
      </c>
      <c r="I224">
        <v>14850</v>
      </c>
      <c r="J224">
        <v>3348</v>
      </c>
      <c r="K224">
        <v>5280</v>
      </c>
      <c r="L224">
        <v>1814</v>
      </c>
      <c r="M224">
        <v>0</v>
      </c>
      <c r="N224">
        <v>0</v>
      </c>
      <c r="O224">
        <v>0</v>
      </c>
      <c r="P224">
        <v>134</v>
      </c>
      <c r="Q224">
        <v>43986</v>
      </c>
      <c r="R224">
        <v>1840</v>
      </c>
      <c r="S224">
        <v>47764</v>
      </c>
      <c r="T224">
        <v>1554</v>
      </c>
      <c r="U224">
        <v>0</v>
      </c>
      <c r="V224">
        <v>394</v>
      </c>
      <c r="W224">
        <v>46</v>
      </c>
      <c r="X224">
        <v>274</v>
      </c>
      <c r="Y224">
        <v>1538</v>
      </c>
      <c r="Z224">
        <v>0</v>
      </c>
      <c r="AA224">
        <v>0</v>
      </c>
      <c r="AB224">
        <v>3258</v>
      </c>
      <c r="AC224">
        <v>14240</v>
      </c>
      <c r="AD224">
        <v>2680</v>
      </c>
      <c r="AE224">
        <v>0</v>
      </c>
      <c r="AF224">
        <v>1232</v>
      </c>
      <c r="AG224">
        <v>14</v>
      </c>
      <c r="AH224">
        <v>1436</v>
      </c>
      <c r="AI224">
        <v>293574</v>
      </c>
      <c r="AJ224">
        <v>0</v>
      </c>
      <c r="AK224">
        <v>5606</v>
      </c>
      <c r="AL224">
        <v>4542</v>
      </c>
      <c r="AM224">
        <v>0</v>
      </c>
      <c r="AN224">
        <v>0</v>
      </c>
      <c r="AO224">
        <v>0</v>
      </c>
      <c r="AP224">
        <v>312</v>
      </c>
      <c r="AQ224">
        <v>1566</v>
      </c>
      <c r="AR224">
        <v>3728</v>
      </c>
      <c r="AS224">
        <v>0</v>
      </c>
      <c r="AT224">
        <v>65914</v>
      </c>
      <c r="AU224">
        <v>0</v>
      </c>
      <c r="AV224">
        <v>18404</v>
      </c>
      <c r="AW224">
        <v>5592</v>
      </c>
    </row>
    <row r="225" spans="1:49">
      <c r="A225">
        <v>2022</v>
      </c>
      <c r="B225" t="s">
        <v>89</v>
      </c>
      <c r="C225">
        <v>171</v>
      </c>
      <c r="E225">
        <v>50</v>
      </c>
      <c r="F225">
        <v>39</v>
      </c>
      <c r="G225">
        <v>86</v>
      </c>
      <c r="I225">
        <v>418</v>
      </c>
      <c r="J225">
        <v>317</v>
      </c>
      <c r="K225">
        <v>392</v>
      </c>
      <c r="L225">
        <v>9</v>
      </c>
      <c r="N225">
        <v>10</v>
      </c>
      <c r="P225">
        <v>58</v>
      </c>
      <c r="Q225">
        <v>271</v>
      </c>
      <c r="R225">
        <v>44</v>
      </c>
      <c r="S225">
        <v>0</v>
      </c>
      <c r="T225">
        <v>34</v>
      </c>
      <c r="V225">
        <v>20</v>
      </c>
      <c r="X225">
        <v>273</v>
      </c>
      <c r="Y225">
        <v>6</v>
      </c>
      <c r="Z225">
        <v>31</v>
      </c>
      <c r="AA225">
        <v>225</v>
      </c>
      <c r="AC225">
        <v>348</v>
      </c>
      <c r="AD225">
        <v>131</v>
      </c>
      <c r="AF225">
        <v>91</v>
      </c>
      <c r="AG225">
        <v>207</v>
      </c>
      <c r="AH225">
        <v>24</v>
      </c>
      <c r="AI225">
        <v>5048</v>
      </c>
      <c r="AK225">
        <v>223</v>
      </c>
      <c r="AL225">
        <v>6</v>
      </c>
      <c r="AP225">
        <v>44</v>
      </c>
      <c r="AQ225">
        <v>21</v>
      </c>
      <c r="AR225">
        <v>18</v>
      </c>
      <c r="AS225">
        <v>583</v>
      </c>
      <c r="AT225">
        <v>1440</v>
      </c>
      <c r="AU225">
        <v>1348</v>
      </c>
      <c r="AV225">
        <v>261</v>
      </c>
      <c r="AW225">
        <v>2703</v>
      </c>
    </row>
    <row r="226" spans="1:49">
      <c r="A226">
        <v>2022</v>
      </c>
      <c r="B226" t="s">
        <v>87</v>
      </c>
      <c r="C226">
        <v>0</v>
      </c>
      <c r="G226">
        <v>24</v>
      </c>
      <c r="I226">
        <v>28</v>
      </c>
      <c r="J226">
        <v>88</v>
      </c>
      <c r="N226">
        <v>0</v>
      </c>
      <c r="P226">
        <v>157</v>
      </c>
      <c r="Q226">
        <v>195</v>
      </c>
      <c r="R226">
        <v>67</v>
      </c>
      <c r="S226">
        <v>488</v>
      </c>
      <c r="T226">
        <v>50</v>
      </c>
      <c r="V226">
        <v>2</v>
      </c>
      <c r="X226">
        <v>255</v>
      </c>
      <c r="Z226">
        <v>49</v>
      </c>
      <c r="AC226">
        <v>341</v>
      </c>
      <c r="AE226">
        <v>78</v>
      </c>
      <c r="AF226">
        <v>173</v>
      </c>
      <c r="AG226">
        <v>49</v>
      </c>
      <c r="AK226">
        <v>64</v>
      </c>
      <c r="AL226">
        <v>126</v>
      </c>
      <c r="AP226">
        <v>0</v>
      </c>
      <c r="AR226">
        <v>1</v>
      </c>
      <c r="AS226">
        <v>449</v>
      </c>
      <c r="AU226">
        <v>1550</v>
      </c>
      <c r="AV226">
        <v>743</v>
      </c>
      <c r="AW226">
        <v>178</v>
      </c>
    </row>
    <row r="227" spans="1:49">
      <c r="A227">
        <v>2022</v>
      </c>
      <c r="B227" t="s">
        <v>88</v>
      </c>
      <c r="C227">
        <v>0</v>
      </c>
      <c r="F227">
        <v>7</v>
      </c>
      <c r="G227">
        <v>33</v>
      </c>
      <c r="J227">
        <v>11</v>
      </c>
      <c r="N227">
        <v>0</v>
      </c>
      <c r="Q227">
        <v>65</v>
      </c>
      <c r="R227">
        <v>17</v>
      </c>
      <c r="S227">
        <v>0</v>
      </c>
      <c r="V227">
        <v>2</v>
      </c>
      <c r="X227">
        <v>181</v>
      </c>
      <c r="Z227">
        <v>5</v>
      </c>
      <c r="AF227">
        <v>12</v>
      </c>
      <c r="AH227">
        <v>6</v>
      </c>
      <c r="AK227">
        <v>15</v>
      </c>
      <c r="AL227">
        <v>13</v>
      </c>
      <c r="AP227">
        <v>0</v>
      </c>
      <c r="AQ227">
        <v>11</v>
      </c>
      <c r="AR227">
        <v>19</v>
      </c>
      <c r="AU227">
        <v>54</v>
      </c>
      <c r="AV227">
        <v>23</v>
      </c>
    </row>
    <row r="228" spans="1:49">
      <c r="A228">
        <v>2022</v>
      </c>
      <c r="B228" t="s">
        <v>103</v>
      </c>
      <c r="C228">
        <v>967</v>
      </c>
      <c r="E228">
        <v>382</v>
      </c>
      <c r="F228">
        <v>575</v>
      </c>
      <c r="G228">
        <v>125</v>
      </c>
      <c r="I228">
        <v>1162</v>
      </c>
      <c r="J228">
        <v>602</v>
      </c>
      <c r="K228">
        <v>806</v>
      </c>
      <c r="L228">
        <v>28</v>
      </c>
      <c r="N228">
        <v>23</v>
      </c>
      <c r="P228">
        <v>199</v>
      </c>
      <c r="Q228">
        <v>5871</v>
      </c>
      <c r="R228">
        <v>168</v>
      </c>
      <c r="S228">
        <v>1188</v>
      </c>
      <c r="V228">
        <v>2</v>
      </c>
      <c r="W228">
        <v>14</v>
      </c>
      <c r="X228">
        <v>886</v>
      </c>
      <c r="Y228">
        <v>170</v>
      </c>
      <c r="Z228">
        <v>201</v>
      </c>
      <c r="AA228">
        <v>27</v>
      </c>
      <c r="AB228">
        <v>1721</v>
      </c>
      <c r="AC228">
        <v>498</v>
      </c>
      <c r="AD228">
        <v>85</v>
      </c>
      <c r="AE228">
        <v>35</v>
      </c>
      <c r="AF228">
        <v>111</v>
      </c>
      <c r="AG228">
        <v>655</v>
      </c>
      <c r="AH228">
        <v>43</v>
      </c>
      <c r="AI228">
        <v>18277</v>
      </c>
      <c r="AK228">
        <v>352</v>
      </c>
      <c r="AL228">
        <v>89</v>
      </c>
      <c r="AP228">
        <v>35</v>
      </c>
      <c r="AQ228">
        <v>163</v>
      </c>
      <c r="AR228">
        <v>255</v>
      </c>
      <c r="AS228">
        <v>1746</v>
      </c>
      <c r="AT228">
        <v>1712</v>
      </c>
      <c r="AU228">
        <v>3609</v>
      </c>
      <c r="AV228">
        <v>639</v>
      </c>
      <c r="AW228">
        <v>1902</v>
      </c>
    </row>
    <row r="229" spans="1:49">
      <c r="A229">
        <v>2022</v>
      </c>
      <c r="B229" t="s">
        <v>102</v>
      </c>
      <c r="C229">
        <v>636</v>
      </c>
      <c r="F229">
        <v>210</v>
      </c>
      <c r="G229">
        <v>449</v>
      </c>
      <c r="I229">
        <v>200</v>
      </c>
      <c r="J229">
        <v>369</v>
      </c>
      <c r="K229">
        <v>378</v>
      </c>
      <c r="L229">
        <v>80</v>
      </c>
      <c r="N229">
        <v>6</v>
      </c>
      <c r="P229">
        <v>288</v>
      </c>
      <c r="Q229">
        <v>11220</v>
      </c>
      <c r="R229">
        <v>233</v>
      </c>
      <c r="S229">
        <v>1507</v>
      </c>
      <c r="V229">
        <v>80</v>
      </c>
      <c r="W229">
        <v>91</v>
      </c>
      <c r="X229">
        <v>1797</v>
      </c>
      <c r="Y229">
        <v>447</v>
      </c>
      <c r="Z229">
        <v>31</v>
      </c>
      <c r="AC229">
        <v>3299</v>
      </c>
      <c r="AE229">
        <v>314</v>
      </c>
      <c r="AF229">
        <v>710</v>
      </c>
      <c r="AG229">
        <v>402</v>
      </c>
      <c r="AH229">
        <v>4</v>
      </c>
      <c r="AI229">
        <v>2326</v>
      </c>
      <c r="AK229">
        <v>57</v>
      </c>
      <c r="AL229">
        <v>88</v>
      </c>
      <c r="AP229">
        <v>0</v>
      </c>
      <c r="AQ229">
        <v>320</v>
      </c>
      <c r="AR229">
        <v>73</v>
      </c>
      <c r="AS229">
        <v>5583</v>
      </c>
      <c r="AT229">
        <v>1820</v>
      </c>
      <c r="AV229">
        <v>1800</v>
      </c>
      <c r="AW229">
        <v>588</v>
      </c>
    </row>
    <row r="230" spans="1:49">
      <c r="A230">
        <v>2022</v>
      </c>
      <c r="B230" t="s">
        <v>101</v>
      </c>
      <c r="C230">
        <v>0</v>
      </c>
      <c r="E230">
        <v>382</v>
      </c>
      <c r="F230">
        <v>1698</v>
      </c>
      <c r="G230">
        <v>6</v>
      </c>
      <c r="I230">
        <v>3896</v>
      </c>
      <c r="J230">
        <v>34</v>
      </c>
      <c r="N230">
        <v>0</v>
      </c>
      <c r="Q230">
        <v>1205</v>
      </c>
      <c r="R230">
        <v>84</v>
      </c>
      <c r="S230">
        <v>0</v>
      </c>
      <c r="V230">
        <v>0</v>
      </c>
      <c r="W230">
        <v>101</v>
      </c>
      <c r="X230">
        <v>8639</v>
      </c>
      <c r="Z230">
        <v>2</v>
      </c>
      <c r="AC230">
        <v>6873</v>
      </c>
      <c r="AF230">
        <v>37</v>
      </c>
      <c r="AG230">
        <v>82</v>
      </c>
      <c r="AH230">
        <v>1592</v>
      </c>
      <c r="AK230">
        <v>1083</v>
      </c>
      <c r="AP230">
        <v>0</v>
      </c>
      <c r="AR230">
        <v>390</v>
      </c>
      <c r="AS230">
        <v>71119</v>
      </c>
      <c r="AU230">
        <v>20327</v>
      </c>
      <c r="AV230">
        <v>970</v>
      </c>
    </row>
    <row r="231" spans="1:49">
      <c r="A231">
        <v>2022</v>
      </c>
      <c r="B231" t="s">
        <v>92</v>
      </c>
      <c r="C231">
        <v>9</v>
      </c>
      <c r="G231">
        <v>191</v>
      </c>
      <c r="J231">
        <v>293</v>
      </c>
      <c r="N231">
        <v>0</v>
      </c>
      <c r="P231">
        <v>296</v>
      </c>
      <c r="Q231">
        <v>0</v>
      </c>
      <c r="R231">
        <v>231</v>
      </c>
      <c r="S231">
        <v>2139</v>
      </c>
      <c r="V231">
        <v>1</v>
      </c>
      <c r="X231">
        <v>4663</v>
      </c>
      <c r="Z231">
        <v>0</v>
      </c>
      <c r="AC231">
        <v>335</v>
      </c>
      <c r="AE231">
        <v>270</v>
      </c>
      <c r="AF231">
        <v>81</v>
      </c>
      <c r="AI231">
        <v>36833</v>
      </c>
      <c r="AP231">
        <v>0</v>
      </c>
      <c r="AQ231">
        <v>1028</v>
      </c>
      <c r="AS231">
        <v>1198</v>
      </c>
      <c r="AT231">
        <v>3309</v>
      </c>
      <c r="AU231">
        <v>13</v>
      </c>
      <c r="AV231">
        <v>388</v>
      </c>
      <c r="AW231">
        <v>757</v>
      </c>
    </row>
    <row r="232" spans="1:49">
      <c r="A232">
        <v>2022</v>
      </c>
      <c r="B232" t="s">
        <v>95</v>
      </c>
      <c r="C232">
        <v>107</v>
      </c>
      <c r="G232">
        <v>82</v>
      </c>
      <c r="J232">
        <v>4864</v>
      </c>
      <c r="K232">
        <v>528</v>
      </c>
      <c r="N232">
        <v>0</v>
      </c>
      <c r="P232">
        <v>141</v>
      </c>
      <c r="Q232">
        <v>1469</v>
      </c>
      <c r="R232">
        <v>478</v>
      </c>
      <c r="S232">
        <v>2703</v>
      </c>
      <c r="V232">
        <v>51</v>
      </c>
      <c r="X232">
        <v>0</v>
      </c>
      <c r="Z232">
        <v>76</v>
      </c>
      <c r="AC232">
        <v>276</v>
      </c>
      <c r="AF232">
        <v>610</v>
      </c>
      <c r="AG232">
        <v>289</v>
      </c>
      <c r="AI232">
        <v>4262</v>
      </c>
      <c r="AK232">
        <v>237</v>
      </c>
      <c r="AL232">
        <v>38</v>
      </c>
      <c r="AP232">
        <v>0</v>
      </c>
      <c r="AS232">
        <v>543</v>
      </c>
      <c r="AT232">
        <v>1249</v>
      </c>
      <c r="AV232">
        <v>2633</v>
      </c>
    </row>
    <row r="233" spans="1:49">
      <c r="A233">
        <v>2022</v>
      </c>
      <c r="B233" t="s">
        <v>93</v>
      </c>
      <c r="C233">
        <v>12</v>
      </c>
      <c r="E233">
        <v>1602</v>
      </c>
      <c r="G233">
        <v>318</v>
      </c>
      <c r="J233">
        <v>161</v>
      </c>
      <c r="L233">
        <v>777</v>
      </c>
      <c r="N233">
        <v>0</v>
      </c>
      <c r="P233">
        <v>267</v>
      </c>
      <c r="Q233">
        <v>13915</v>
      </c>
      <c r="R233">
        <v>228</v>
      </c>
      <c r="S233">
        <v>477</v>
      </c>
      <c r="V233">
        <v>197</v>
      </c>
      <c r="W233">
        <v>228</v>
      </c>
      <c r="X233">
        <v>636</v>
      </c>
      <c r="Z233">
        <v>28</v>
      </c>
      <c r="AC233">
        <v>2040</v>
      </c>
      <c r="AE233">
        <v>224</v>
      </c>
      <c r="AF233">
        <v>189</v>
      </c>
      <c r="AG233">
        <v>1065</v>
      </c>
      <c r="AH233">
        <v>418</v>
      </c>
      <c r="AI233">
        <v>38712</v>
      </c>
      <c r="AK233">
        <v>252</v>
      </c>
      <c r="AL233">
        <v>298</v>
      </c>
      <c r="AP233">
        <v>0</v>
      </c>
      <c r="AQ233">
        <v>1028</v>
      </c>
      <c r="AR233">
        <v>887</v>
      </c>
      <c r="AS233">
        <v>4743</v>
      </c>
      <c r="AT233">
        <v>13380</v>
      </c>
      <c r="AV233">
        <v>1474</v>
      </c>
      <c r="AW233">
        <v>795</v>
      </c>
    </row>
    <row r="234" spans="1:49">
      <c r="A234">
        <v>2022</v>
      </c>
      <c r="B234" t="s">
        <v>90</v>
      </c>
      <c r="C234">
        <v>11</v>
      </c>
      <c r="E234">
        <v>257</v>
      </c>
      <c r="F234">
        <v>1791</v>
      </c>
      <c r="J234">
        <v>668</v>
      </c>
      <c r="K234">
        <v>718</v>
      </c>
      <c r="N234">
        <v>0</v>
      </c>
      <c r="P234">
        <v>233</v>
      </c>
      <c r="Q234">
        <v>2367</v>
      </c>
      <c r="R234">
        <v>155</v>
      </c>
      <c r="S234">
        <v>47</v>
      </c>
      <c r="V234">
        <v>0</v>
      </c>
      <c r="X234">
        <v>4286</v>
      </c>
      <c r="Z234">
        <v>31</v>
      </c>
      <c r="AE234">
        <v>26</v>
      </c>
      <c r="AF234">
        <v>548</v>
      </c>
      <c r="AG234">
        <v>245</v>
      </c>
      <c r="AH234">
        <v>136</v>
      </c>
      <c r="AI234">
        <v>20392</v>
      </c>
      <c r="AK234">
        <v>634</v>
      </c>
      <c r="AL234">
        <v>163</v>
      </c>
      <c r="AP234">
        <v>0</v>
      </c>
      <c r="AR234">
        <v>461</v>
      </c>
      <c r="AS234">
        <v>657</v>
      </c>
      <c r="AT234">
        <v>426</v>
      </c>
      <c r="AU234">
        <v>1168</v>
      </c>
      <c r="AV234">
        <v>463</v>
      </c>
      <c r="AW234">
        <v>690</v>
      </c>
    </row>
    <row r="235" spans="1:49">
      <c r="A235">
        <v>2022</v>
      </c>
      <c r="B235" t="s">
        <v>91</v>
      </c>
      <c r="C235">
        <v>0</v>
      </c>
      <c r="J235">
        <v>1</v>
      </c>
      <c r="N235">
        <v>0</v>
      </c>
      <c r="Q235">
        <v>0</v>
      </c>
      <c r="R235">
        <v>2</v>
      </c>
      <c r="S235">
        <v>0</v>
      </c>
      <c r="V235">
        <v>24</v>
      </c>
      <c r="X235">
        <v>0</v>
      </c>
      <c r="Z235">
        <v>0</v>
      </c>
      <c r="AF235">
        <v>0</v>
      </c>
      <c r="AP235">
        <v>0</v>
      </c>
      <c r="AS235">
        <v>2313</v>
      </c>
      <c r="AT235">
        <v>3936</v>
      </c>
      <c r="AV235">
        <v>3325</v>
      </c>
      <c r="AW235">
        <v>1994</v>
      </c>
    </row>
    <row r="236" spans="1:49">
      <c r="A236">
        <v>2022</v>
      </c>
      <c r="B236" t="s">
        <v>86</v>
      </c>
      <c r="C236">
        <v>5</v>
      </c>
      <c r="E236">
        <v>21</v>
      </c>
      <c r="F236">
        <v>3145</v>
      </c>
      <c r="J236">
        <v>310</v>
      </c>
      <c r="N236">
        <v>155</v>
      </c>
      <c r="P236">
        <v>2626</v>
      </c>
      <c r="Q236">
        <v>41101</v>
      </c>
      <c r="R236">
        <v>98</v>
      </c>
      <c r="S236">
        <v>0</v>
      </c>
      <c r="V236">
        <v>3975</v>
      </c>
      <c r="W236">
        <v>146</v>
      </c>
      <c r="X236">
        <v>86423</v>
      </c>
      <c r="Z236">
        <v>9196</v>
      </c>
      <c r="AC236">
        <v>6992</v>
      </c>
      <c r="AE236">
        <v>916</v>
      </c>
      <c r="AF236">
        <v>10747</v>
      </c>
      <c r="AH236">
        <v>2239</v>
      </c>
      <c r="AI236">
        <v>154477</v>
      </c>
      <c r="AK236">
        <v>18757</v>
      </c>
      <c r="AP236">
        <v>0</v>
      </c>
      <c r="AS236">
        <v>20737</v>
      </c>
      <c r="AU236">
        <v>63290</v>
      </c>
      <c r="AV236">
        <v>2421</v>
      </c>
      <c r="AW236">
        <v>19722</v>
      </c>
    </row>
    <row r="237" spans="1:49">
      <c r="A237">
        <v>2022</v>
      </c>
      <c r="B237" t="s">
        <v>104</v>
      </c>
      <c r="C237">
        <v>705</v>
      </c>
      <c r="E237">
        <v>187</v>
      </c>
      <c r="G237">
        <v>30</v>
      </c>
      <c r="I237">
        <v>95</v>
      </c>
      <c r="J237">
        <v>24</v>
      </c>
      <c r="K237">
        <v>793</v>
      </c>
      <c r="N237">
        <v>10</v>
      </c>
      <c r="P237">
        <v>1</v>
      </c>
      <c r="Q237">
        <v>231</v>
      </c>
      <c r="R237">
        <v>2</v>
      </c>
      <c r="S237">
        <v>196</v>
      </c>
      <c r="V237">
        <v>5</v>
      </c>
      <c r="X237">
        <v>631</v>
      </c>
      <c r="Z237">
        <v>5</v>
      </c>
      <c r="AC237">
        <v>114</v>
      </c>
      <c r="AF237">
        <v>160</v>
      </c>
      <c r="AG237">
        <v>144</v>
      </c>
      <c r="AI237">
        <v>6282</v>
      </c>
      <c r="AK237">
        <v>90</v>
      </c>
      <c r="AP237">
        <v>0</v>
      </c>
      <c r="AR237">
        <v>183</v>
      </c>
      <c r="AS237">
        <v>526</v>
      </c>
      <c r="AT237">
        <v>572</v>
      </c>
      <c r="AU237">
        <v>1446</v>
      </c>
      <c r="AV237">
        <v>269</v>
      </c>
      <c r="AW237">
        <v>400</v>
      </c>
    </row>
    <row r="238" spans="1:49">
      <c r="A238">
        <v>2022</v>
      </c>
      <c r="B238" t="s">
        <v>99</v>
      </c>
      <c r="C238">
        <v>15</v>
      </c>
      <c r="E238">
        <v>44</v>
      </c>
      <c r="F238">
        <v>71</v>
      </c>
      <c r="G238">
        <v>4</v>
      </c>
      <c r="J238">
        <v>49</v>
      </c>
      <c r="K238">
        <v>1688</v>
      </c>
      <c r="N238">
        <v>11</v>
      </c>
      <c r="Q238">
        <v>630</v>
      </c>
      <c r="S238">
        <v>1481</v>
      </c>
      <c r="V238">
        <v>1</v>
      </c>
      <c r="X238">
        <v>2217</v>
      </c>
      <c r="Z238">
        <v>0</v>
      </c>
      <c r="AC238">
        <v>1344</v>
      </c>
      <c r="AE238">
        <v>14</v>
      </c>
      <c r="AF238">
        <v>28</v>
      </c>
      <c r="AH238">
        <v>119</v>
      </c>
      <c r="AK238">
        <v>7</v>
      </c>
      <c r="AL238">
        <v>261</v>
      </c>
      <c r="AP238">
        <v>0</v>
      </c>
      <c r="AQ238">
        <v>77</v>
      </c>
      <c r="AR238">
        <v>50</v>
      </c>
      <c r="AU238">
        <v>643</v>
      </c>
      <c r="AV238">
        <v>773</v>
      </c>
      <c r="AW238">
        <v>77</v>
      </c>
    </row>
    <row r="239" spans="1:49">
      <c r="A239">
        <v>2022</v>
      </c>
      <c r="B239" t="s">
        <v>85</v>
      </c>
      <c r="C239">
        <v>1</v>
      </c>
      <c r="G239">
        <v>11</v>
      </c>
      <c r="J239">
        <v>0</v>
      </c>
      <c r="N239">
        <v>0</v>
      </c>
      <c r="S239">
        <v>30</v>
      </c>
      <c r="V239">
        <v>0</v>
      </c>
      <c r="X239">
        <v>0</v>
      </c>
      <c r="Z239">
        <v>0</v>
      </c>
      <c r="AE239">
        <v>27</v>
      </c>
      <c r="AF239">
        <v>0</v>
      </c>
      <c r="AI239">
        <v>168</v>
      </c>
      <c r="AP239">
        <v>0</v>
      </c>
      <c r="AS239">
        <v>2</v>
      </c>
      <c r="AU239">
        <v>586</v>
      </c>
      <c r="AV239">
        <v>2</v>
      </c>
    </row>
    <row r="240" spans="1:49">
      <c r="A240">
        <v>2022</v>
      </c>
      <c r="B240" t="s">
        <v>100</v>
      </c>
      <c r="C240">
        <v>6</v>
      </c>
      <c r="F240">
        <v>2</v>
      </c>
      <c r="G240">
        <v>4</v>
      </c>
      <c r="J240">
        <v>10</v>
      </c>
      <c r="N240">
        <v>4</v>
      </c>
      <c r="P240">
        <v>96</v>
      </c>
      <c r="Q240">
        <v>383</v>
      </c>
      <c r="S240">
        <v>309</v>
      </c>
      <c r="V240">
        <v>0</v>
      </c>
      <c r="X240">
        <v>0</v>
      </c>
      <c r="Z240">
        <v>3</v>
      </c>
      <c r="AC240">
        <v>154</v>
      </c>
      <c r="AE240">
        <v>6</v>
      </c>
      <c r="AF240">
        <v>73</v>
      </c>
      <c r="AG240">
        <v>107</v>
      </c>
      <c r="AI240">
        <v>5632</v>
      </c>
      <c r="AL240">
        <v>2</v>
      </c>
      <c r="AP240">
        <v>0</v>
      </c>
      <c r="AR240">
        <v>2</v>
      </c>
      <c r="AS240">
        <v>201</v>
      </c>
      <c r="AU240">
        <v>255</v>
      </c>
      <c r="AV240">
        <v>137</v>
      </c>
    </row>
    <row r="241" spans="1:49">
      <c r="A241">
        <v>2022</v>
      </c>
      <c r="B241" t="s">
        <v>96</v>
      </c>
      <c r="F241">
        <v>7</v>
      </c>
      <c r="J241">
        <v>8</v>
      </c>
      <c r="N241">
        <v>0</v>
      </c>
      <c r="Q241">
        <v>65</v>
      </c>
      <c r="S241">
        <v>0</v>
      </c>
      <c r="V241">
        <v>0</v>
      </c>
      <c r="X241">
        <v>0</v>
      </c>
      <c r="Z241">
        <v>0</v>
      </c>
      <c r="AC241">
        <v>72</v>
      </c>
      <c r="AF241">
        <v>0</v>
      </c>
      <c r="AI241">
        <v>280</v>
      </c>
      <c r="AP241">
        <v>0</v>
      </c>
      <c r="AS241">
        <v>12</v>
      </c>
      <c r="AU241">
        <v>275</v>
      </c>
      <c r="AV241">
        <v>5</v>
      </c>
    </row>
    <row r="242" spans="1:49">
      <c r="A242">
        <v>2022</v>
      </c>
      <c r="B242" t="s">
        <v>106</v>
      </c>
      <c r="C242">
        <v>41</v>
      </c>
      <c r="F242">
        <v>39</v>
      </c>
      <c r="J242">
        <v>595</v>
      </c>
      <c r="N242">
        <v>0</v>
      </c>
      <c r="P242">
        <v>6</v>
      </c>
      <c r="S242">
        <v>0</v>
      </c>
      <c r="V242">
        <v>0</v>
      </c>
      <c r="X242">
        <v>642</v>
      </c>
      <c r="Z242">
        <v>0</v>
      </c>
      <c r="AC242">
        <v>110</v>
      </c>
      <c r="AF242">
        <v>24</v>
      </c>
      <c r="AK242">
        <v>543</v>
      </c>
      <c r="AP242">
        <v>0</v>
      </c>
      <c r="AU242">
        <v>9098</v>
      </c>
      <c r="AV242">
        <v>0</v>
      </c>
      <c r="AW242">
        <v>84</v>
      </c>
    </row>
    <row r="243" spans="1:49">
      <c r="A243">
        <v>2022</v>
      </c>
      <c r="B243" t="s">
        <v>105</v>
      </c>
      <c r="C243">
        <v>767</v>
      </c>
      <c r="F243">
        <v>9</v>
      </c>
      <c r="G243">
        <v>17</v>
      </c>
      <c r="J243">
        <v>32</v>
      </c>
      <c r="N243">
        <v>0</v>
      </c>
      <c r="P243">
        <v>7</v>
      </c>
      <c r="R243">
        <v>175</v>
      </c>
      <c r="S243">
        <v>65</v>
      </c>
      <c r="V243">
        <v>11</v>
      </c>
      <c r="X243">
        <v>0</v>
      </c>
      <c r="Z243">
        <v>0</v>
      </c>
      <c r="AC243">
        <v>655</v>
      </c>
      <c r="AE243">
        <v>16</v>
      </c>
      <c r="AF243">
        <v>11</v>
      </c>
      <c r="AK243">
        <v>14</v>
      </c>
      <c r="AP243">
        <v>0</v>
      </c>
      <c r="AU243">
        <v>723</v>
      </c>
      <c r="AV243">
        <v>4</v>
      </c>
      <c r="AW243">
        <v>39</v>
      </c>
    </row>
  </sheetData>
  <autoFilter ref="A1:AW24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2"/>
  <sheetViews>
    <sheetView workbookViewId="0">
      <selection activeCell="E3" sqref="E3:G3"/>
    </sheetView>
  </sheetViews>
  <sheetFormatPr defaultColWidth="9" defaultRowHeight="14.5"/>
  <cols>
    <col min="3" max="3" width="12.453125" customWidth="1"/>
    <col min="5" max="5" width="16.1796875" customWidth="1"/>
    <col min="6" max="7" width="13.54296875" customWidth="1"/>
  </cols>
  <sheetData>
    <row r="2" spans="2:7">
      <c r="B2">
        <v>2012</v>
      </c>
      <c r="C2" s="1">
        <v>13265331</v>
      </c>
      <c r="E2">
        <v>2013</v>
      </c>
      <c r="F2">
        <v>2018</v>
      </c>
      <c r="G2">
        <v>2022</v>
      </c>
    </row>
    <row r="3" spans="2:7">
      <c r="B3">
        <v>2013</v>
      </c>
      <c r="C3" s="1">
        <v>13555421.5</v>
      </c>
      <c r="E3" s="2">
        <f>C3</f>
        <v>13555421.5</v>
      </c>
      <c r="F3" s="2">
        <f>C8</f>
        <v>15052184</v>
      </c>
      <c r="G3" s="2">
        <f>C12</f>
        <v>16320537</v>
      </c>
    </row>
    <row r="4" spans="2:7">
      <c r="B4">
        <v>2014</v>
      </c>
      <c r="C4" s="1">
        <v>13855753</v>
      </c>
    </row>
    <row r="5" spans="2:7">
      <c r="B5">
        <v>2015</v>
      </c>
      <c r="C5" s="1">
        <v>14154937</v>
      </c>
    </row>
    <row r="6" spans="2:7">
      <c r="B6">
        <v>2016</v>
      </c>
      <c r="C6" s="1">
        <v>14452704.5</v>
      </c>
    </row>
    <row r="7" spans="2:7">
      <c r="B7">
        <v>2017</v>
      </c>
      <c r="C7" s="1">
        <v>14751101</v>
      </c>
    </row>
    <row r="8" spans="2:7">
      <c r="B8">
        <v>2018</v>
      </c>
      <c r="C8" s="1">
        <v>15052184</v>
      </c>
    </row>
    <row r="9" spans="2:7">
      <c r="B9">
        <v>2019</v>
      </c>
      <c r="C9" s="1">
        <v>15354607.5</v>
      </c>
    </row>
    <row r="10" spans="2:7">
      <c r="B10">
        <v>2020</v>
      </c>
      <c r="C10" s="1">
        <v>15669666</v>
      </c>
    </row>
    <row r="11" spans="2:7">
      <c r="B11">
        <v>2021</v>
      </c>
      <c r="C11" s="1">
        <v>15993524</v>
      </c>
    </row>
    <row r="12" spans="2:7">
      <c r="B12">
        <v>2022</v>
      </c>
      <c r="C12" s="1">
        <v>16320537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Countries</vt:lpstr>
      <vt:lpstr>Sheet5</vt:lpstr>
      <vt:lpstr>Step1</vt:lpstr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2024-02-08T13:22:00Z</dcterms:created>
  <dcterms:modified xsi:type="dcterms:W3CDTF">2024-02-26T13:05:57Z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7C889C68EF044D9FB19EA523AA7167E4_12</vt:lpwstr>
  </property>
  <property fmtid="{D5CDD505-2E9C-101B-9397-08002B2CF9AE}" pid="3" name="KSOProductBuildVer">
    <vt:lpwstr>1033-12.2.0.13431</vt:lpwstr>
  </property>
</Properties>
</file>