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:\Brazzaville\HRH 24\Analytics\Mapping\"/>
    </mc:Choice>
  </mc:AlternateContent>
  <xr:revisionPtr revIDLastSave="0" documentId="8_{172AE386-3453-4AE3-9C53-CC3796AAD13C}" xr6:coauthVersionLast="47" xr6:coauthVersionMax="47" xr10:uidLastSave="{00000000-0000-0000-0000-000000000000}"/>
  <bookViews>
    <workbookView xWindow="-110" yWindow="-110" windowWidth="19420" windowHeight="10300" activeTab="1" xr2:uid="{24DE89EA-C938-294D-B4E3-49D00569F414}"/>
  </bookViews>
  <sheets>
    <sheet name="Sheet1" sheetId="1" r:id="rId1"/>
    <sheet name="Needs" sheetId="3" r:id="rId2"/>
    <sheet name="Sheet4" sheetId="4" r:id="rId3"/>
    <sheet name="Sheet2" sheetId="2" r:id="rId4"/>
  </sheets>
  <externalReferences>
    <externalReference r:id="rId5"/>
  </externalReferences>
  <definedNames>
    <definedName name="_xlnm._FilterDatabase" localSheetId="1" hidden="1">Needs!$A$1:$E$48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2" i="3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2" i="3"/>
  <c r="C4" i="1"/>
  <c r="C5" i="1"/>
  <c r="C7" i="1"/>
  <c r="C12" i="1"/>
  <c r="C13" i="1"/>
  <c r="C15" i="1"/>
  <c r="C29" i="1"/>
  <c r="C36" i="1"/>
  <c r="C37" i="1"/>
  <c r="C39" i="1"/>
  <c r="C44" i="1"/>
  <c r="C45" i="1"/>
  <c r="C47" i="1"/>
  <c r="E48" i="2"/>
  <c r="C40" i="1" s="1"/>
  <c r="E47" i="2"/>
  <c r="C42" i="1" s="1"/>
  <c r="E46" i="2"/>
  <c r="C34" i="1" s="1"/>
  <c r="E45" i="2"/>
  <c r="C8" i="1" s="1"/>
  <c r="E44" i="2"/>
  <c r="C32" i="1" s="1"/>
  <c r="E43" i="2"/>
  <c r="C18" i="1" s="1"/>
  <c r="E42" i="2"/>
  <c r="C22" i="1" s="1"/>
  <c r="E41" i="2"/>
  <c r="C48" i="1" s="1"/>
  <c r="E40" i="2"/>
  <c r="E39" i="2"/>
  <c r="E38" i="2"/>
  <c r="C20" i="1" s="1"/>
  <c r="E37" i="2"/>
  <c r="C38" i="1" s="1"/>
  <c r="E36" i="2"/>
  <c r="E35" i="2"/>
  <c r="C25" i="1" s="1"/>
  <c r="E34" i="2"/>
  <c r="C41" i="1" s="1"/>
  <c r="E33" i="2"/>
  <c r="C3" i="1" s="1"/>
  <c r="E32" i="2"/>
  <c r="E31" i="2"/>
  <c r="E30" i="2"/>
  <c r="C26" i="1" s="1"/>
  <c r="E29" i="2"/>
  <c r="C31" i="1" s="1"/>
  <c r="E28" i="2"/>
  <c r="C19" i="1" s="1"/>
  <c r="E27" i="2"/>
  <c r="C17" i="1" s="1"/>
  <c r="E26" i="2"/>
  <c r="E25" i="2"/>
  <c r="C2" i="1" s="1"/>
  <c r="E24" i="2"/>
  <c r="E23" i="2"/>
  <c r="E22" i="2"/>
  <c r="C24" i="1" s="1"/>
  <c r="E21" i="2"/>
  <c r="C27" i="1" s="1"/>
  <c r="E20" i="2"/>
  <c r="C6" i="1" s="1"/>
  <c r="E19" i="2"/>
  <c r="C14" i="1" s="1"/>
  <c r="E18" i="2"/>
  <c r="C33" i="1" s="1"/>
  <c r="E17" i="2"/>
  <c r="C16" i="1" s="1"/>
  <c r="E16" i="2"/>
  <c r="E15" i="2"/>
  <c r="E14" i="2"/>
  <c r="C9" i="1" s="1"/>
  <c r="E13" i="2"/>
  <c r="C21" i="1" s="1"/>
  <c r="E12" i="2"/>
  <c r="C43" i="1" s="1"/>
  <c r="E11" i="2"/>
  <c r="C46" i="1" s="1"/>
  <c r="E10" i="2"/>
  <c r="E9" i="2"/>
  <c r="E8" i="2"/>
  <c r="C30" i="1" s="1"/>
  <c r="E7" i="2"/>
  <c r="E6" i="2"/>
  <c r="C28" i="1" s="1"/>
  <c r="E5" i="2"/>
  <c r="C23" i="1" s="1"/>
  <c r="E4" i="2"/>
  <c r="C11" i="1" s="1"/>
  <c r="E3" i="2"/>
  <c r="C10" i="1" s="1"/>
  <c r="E2" i="2"/>
  <c r="C35" i="1" s="1"/>
</calcChain>
</file>

<file path=xl/sharedStrings.xml><?xml version="1.0" encoding="utf-8"?>
<sst xmlns="http://schemas.openxmlformats.org/spreadsheetml/2006/main" count="250" uniqueCount="104">
  <si>
    <t>Occupation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</si>
  <si>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</si>
  <si>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</si>
  <si>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</si>
  <si>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</si>
  <si>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</si>
  <si>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</si>
  <si>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</si>
  <si>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</si>
  <si>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</si>
  <si>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</si>
  <si>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</si>
  <si>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</si>
  <si>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Côte d'Ivoire</t>
  </si>
  <si>
    <t>Democratic Republic of the Congo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</si>
  <si>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</si>
  <si>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</si>
  <si>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</si>
  <si>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</si>
  <si>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</si>
  <si>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</si>
  <si>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</si>
  <si>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</si>
  <si>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</si>
  <si>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</si>
  <si>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</si>
  <si>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</si>
  <si>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</si>
  <si>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</si>
  <si>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</si>
  <si>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</si>
  <si>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</si>
  <si>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</si>
  <si>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</si>
  <si>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</si>
  <si>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</si>
  <si>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</si>
  <si>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</si>
  <si>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</si>
  <si>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</si>
  <si>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</si>
  <si>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</si>
  <si>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</si>
  <si>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Togo</t>
  </si>
  <si>
    <t>Uganda</t>
  </si>
  <si>
    <t>United Republic of Tanzania</t>
  </si>
  <si>
    <t>Zambia</t>
  </si>
  <si>
    <t>Zimbabwe</t>
  </si>
  <si>
    <t>Country</t>
  </si>
  <si>
    <t>Density 2013</t>
  </si>
  <si>
    <t>Density 2018</t>
  </si>
  <si>
    <t>Density 2022</t>
  </si>
  <si>
    <t>Needed Density 2022</t>
  </si>
  <si>
    <t>HWF Need Availability Ratio</t>
  </si>
  <si>
    <t>HWF Need Availability Ratio initial</t>
  </si>
  <si>
    <t>Country code</t>
  </si>
  <si>
    <t>DZA</t>
  </si>
  <si>
    <t>AGO</t>
  </si>
  <si>
    <t>BEN</t>
  </si>
  <si>
    <t>BWA</t>
  </si>
  <si>
    <t>BFA</t>
  </si>
  <si>
    <t>BDI</t>
  </si>
  <si>
    <t>CMR</t>
  </si>
  <si>
    <t>CPV</t>
  </si>
  <si>
    <t>CAF</t>
  </si>
  <si>
    <t>TCD</t>
  </si>
  <si>
    <t>COM</t>
  </si>
  <si>
    <t>COG</t>
  </si>
  <si>
    <t>CIV</t>
  </si>
  <si>
    <t>COD</t>
  </si>
  <si>
    <t>GNQ</t>
  </si>
  <si>
    <t>ERI</t>
  </si>
  <si>
    <t>SWZ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</si>
  <si>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</si>
  <si>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</si>
  <si>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</si>
  <si>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</si>
  <si>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</si>
  <si>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</si>
  <si>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</si>
  <si>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</si>
  <si>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</si>
  <si>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MDG</t>
  </si>
  <si>
    <t>MWI</t>
  </si>
  <si>
    <t>MLI</t>
  </si>
  <si>
    <t>MRT</t>
  </si>
  <si>
    <t>MUS</t>
  </si>
  <si>
    <t>MOZ</t>
  </si>
  <si>
    <t>NAM</t>
  </si>
  <si>
    <t>NER</t>
  </si>
  <si>
    <t>NGA</t>
  </si>
  <si>
    <t>RWA</t>
  </si>
  <si>
    <t>STP</t>
  </si>
  <si>
    <t>SEN</t>
  </si>
  <si>
    <t>SYC</t>
  </si>
  <si>
    <t>SLE</t>
  </si>
  <si>
    <t>ZAF</t>
  </si>
  <si>
    <t>SSD</t>
  </si>
  <si>
    <t>TZA</t>
  </si>
  <si>
    <t>TGO</t>
  </si>
  <si>
    <t>UGA</t>
  </si>
  <si>
    <t>ZMB</t>
  </si>
  <si>
    <t>ZWE</t>
  </si>
  <si>
    <t>iso_a3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</si>
</sst>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%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5">
    <xf numFmtId="0" fontId="0" fillId="0" borderId="0" xfId="0"/>
    <xf numFmtId="0" fontId="4" fillId="2" borderId="1" xfId="3" applyFont="1" applyFill="1" applyBorder="1"/>
    <xf numFmtId="0" fontId="0" fillId="0" borderId="0" xfId="0" applyAlignment="1">
      <alignment horizontal="left"/>
    </xf>
    <xf numFmtId="165" fontId="2" fillId="3" borderId="1" xfId="2" applyNumberFormat="1" applyFont="1" applyFill="1" applyBorder="1" applyAlignment="1">
      <alignment horizontal="center"/>
    </xf>
    <xf numFmtId="165" fontId="0" fillId="4" borderId="0" xfId="2" applyNumberFormat="1" applyFont="1" applyFill="1" applyAlignment="1">
      <alignment horizontal="center"/>
    </xf>
    <xf numFmtId="0" fontId="0" fillId="0" borderId="2" xfId="0" applyBorder="1" applyAlignment="1">
      <alignment vertical="center" wrapText="1"/>
    </xf>
    <xf numFmtId="164" fontId="0" fillId="0" borderId="2" xfId="1" applyFont="1" applyBorder="1" applyAlignment="1">
      <alignment vertical="center" wrapText="1"/>
    </xf>
    <xf numFmtId="164" fontId="0" fillId="0" borderId="0" xfId="1" applyFon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164" fontId="0" fillId="0" borderId="0" xfId="1" applyFont="1" applyBorder="1" applyAlignment="1">
      <alignment vertical="center" wrapText="1"/>
    </xf>
    <xf numFmtId="164" fontId="0" fillId="0" borderId="0" xfId="1" applyFont="1" applyAlignment="1">
      <alignment vertical="center" wrapText="1"/>
    </xf>
    <xf numFmtId="164" fontId="0" fillId="5" borderId="0" xfId="1" applyFont="1" applyFill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164" fontId="0" fillId="0" borderId="3" xfId="1" applyFont="1" applyBorder="1" applyAlignment="1">
      <alignment vertical="center" wrapText="1"/>
    </xf>
    <xf numFmtId="164" fontId="0" fillId="0" borderId="0" xfId="1" applyFont="1"/>
  </cellXfs>
  <cellStyles count="4">
    <cellStyle name="Comma" xfId="1" builtinId="3"/>
    <cellStyle name="Normal" xfId="0" builtinId="0"/>
    <cellStyle name="Normal 2" xfId="3" xr:uid="{0F043B48-C515-AF48-9666-B3079A21F20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worldhealthorg-my.sharepoint.com/personal/asamanij_who_int/Documents/WHO%20Office%20Folder/Regional%20Goods/HLMA%20End%20User%20Tools/Regional%20Needs%20Analysis%20and%20Finalsition%20of%20tool/Final%20Updates%20-%20February%202024/Preliminary%20Regional%20Simulation.xlsx" TargetMode="External"/><Relationship Id="rId2" Type="http://schemas.microsoft.com/office/2019/04/relationships/externalLinkLongPath" Target="https://worldhealthorg-my.sharepoint.com/personal/asamanij_who_int/Documents/WHO%20Office%20Folder/Regional%20Goods/HLMA%20End%20User%20Tools/Regional%20Needs%20Analysis%20and%20Finalsition%20of%20tool/Final%20Updates%20-%20February%202024/Preliminary%20Regional%20Simulation.xlsx?DFDCFD47" TargetMode="External"/><Relationship Id="rId1" Type="http://schemas.openxmlformats.org/officeDocument/2006/relationships/externalLinkPath" Target="file:///\\DFDCFD47\Preliminary%20Regional%20Sim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ivot Table_Sub-Region"/>
      <sheetName val="Pivot Table_Income Group"/>
      <sheetName val="Aggregate Need by Country"/>
      <sheetName val="Country Summary by Occupation"/>
      <sheetName val="Pivot_Regional by Care"/>
      <sheetName val="Pivot_Needed Density"/>
      <sheetName val="Raw Modelling Output_Best Estim"/>
      <sheetName val="Scenarios and Gap Analysis"/>
      <sheetName val="Country Aggregates_All Scenario"/>
      <sheetName val="Graph_Rate of Change_Need"/>
      <sheetName val="Country_by_Country Summary Need"/>
      <sheetName val="Summary of Need by Country"/>
      <sheetName val="UHC Index"/>
      <sheetName val="Relation bwn HWF NAR and UHC SC"/>
      <sheetName val="UHC and NAR Compared"/>
      <sheetName val="Summary Stock_by_Country_Final "/>
      <sheetName val="Summary of Stock_Final"/>
      <sheetName val="Stock,Density,Need vs Supply Ga"/>
      <sheetName val="Summary"/>
      <sheetName val="Sub-regional summary"/>
      <sheetName val="Cadres Matched"/>
      <sheetName val="NHWA v2 categories"/>
      <sheetName val="Country Groupings"/>
      <sheetName val="Population Growth Rate"/>
      <sheetName val="Sheet19"/>
      <sheetName val="Results_No Change Dx Burden "/>
      <sheetName val="Gap Analysis_No Dx Change "/>
      <sheetName val="Regression Dataset"/>
      <sheetName val="Results"/>
      <sheetName val="Estimated HWF Financial Space"/>
      <sheetName val="Budget space_summary"/>
      <sheetName val="Macroeconomic Inicators"/>
      <sheetName val="GDP Data"/>
      <sheetName val="HWF_Wage Bill_Data"/>
      <sheetName val="Tuition"/>
      <sheetName val="Salary"/>
      <sheetName val="Annual Salaries and Tuition"/>
      <sheetName val="Education capacity"/>
      <sheetName val="2022 stock"/>
      <sheetName val="Final Stock Dataset"/>
      <sheetName val="Modelling_Results_All Scenarios"/>
      <sheetName val="Shortage_HWF NAR_by Country"/>
      <sheetName val="Aggregate Gaps and Shortage"/>
      <sheetName val="Pivot_Need_SDG 3c Occupations"/>
      <sheetName val="Pivot_Projected Stock"/>
      <sheetName val="Migration_Doctors_Nurses (2)"/>
      <sheetName val="Projections_ Combined"/>
      <sheetName val="Settings"/>
      <sheetName val="Projections_ medical doctors"/>
      <sheetName val="Projections_Nurses"/>
      <sheetName val="Midwives_Projections"/>
      <sheetName val="Projection_Dentists"/>
      <sheetName val="Pharmacist_projections"/>
      <sheetName val="Other Health Workers_"/>
      <sheetName val="Migration_Doctors_Nurses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Sum of Density per 10,000 population</v>
          </cell>
        </row>
        <row r="4">
          <cell r="A4" t="str">
            <v>Row Labels</v>
          </cell>
          <cell r="L4" t="str">
            <v>Doctors, Nurses and Midwives</v>
          </cell>
        </row>
        <row r="5">
          <cell r="A5" t="str">
            <v>Algeria</v>
          </cell>
          <cell r="L5">
            <v>95.82723244256394</v>
          </cell>
        </row>
        <row r="6">
          <cell r="A6" t="str">
            <v>Angola</v>
          </cell>
          <cell r="L6">
            <v>71.788443210779832</v>
          </cell>
        </row>
        <row r="7">
          <cell r="A7" t="str">
            <v>Benin</v>
          </cell>
          <cell r="L7">
            <v>72.368596860295639</v>
          </cell>
        </row>
        <row r="8">
          <cell r="A8" t="str">
            <v>Botswana</v>
          </cell>
          <cell r="L8">
            <v>85.101743969426565</v>
          </cell>
        </row>
        <row r="9">
          <cell r="A9" t="str">
            <v>Burkina Faso</v>
          </cell>
          <cell r="L9">
            <v>77.584825865230016</v>
          </cell>
        </row>
        <row r="10">
          <cell r="A10" t="str">
            <v>Burundi</v>
          </cell>
          <cell r="L10">
            <v>69.181855196271343</v>
          </cell>
        </row>
        <row r="11">
          <cell r="A11" t="str">
            <v>Cabo Verde</v>
          </cell>
          <cell r="L11">
            <v>84.408196600516646</v>
          </cell>
        </row>
        <row r="12">
          <cell r="A12" t="str">
            <v>Cameroon</v>
          </cell>
          <cell r="L12">
            <v>72.855745748891366</v>
          </cell>
        </row>
        <row r="13">
          <cell r="A13" t="str">
            <v>Central African Republic</v>
          </cell>
          <cell r="L13">
            <v>84.63560640092166</v>
          </cell>
        </row>
        <row r="14">
          <cell r="A14" t="str">
            <v>Chad</v>
          </cell>
          <cell r="L14">
            <v>80.318734301801214</v>
          </cell>
        </row>
        <row r="15">
          <cell r="A15" t="str">
            <v>Comoros</v>
          </cell>
          <cell r="L15">
            <v>77.236458029323757</v>
          </cell>
        </row>
        <row r="16">
          <cell r="A16" t="str">
            <v>Congo</v>
          </cell>
          <cell r="L16">
            <v>75.052075703823334</v>
          </cell>
        </row>
        <row r="17">
          <cell r="A17" t="str">
            <v>Côte d'Ivoire</v>
          </cell>
          <cell r="L17">
            <v>72.052390540340483</v>
          </cell>
        </row>
        <row r="18">
          <cell r="A18" t="str">
            <v>Democratic Republic of the Congo</v>
          </cell>
          <cell r="L18">
            <v>75.141068443349695</v>
          </cell>
        </row>
        <row r="19">
          <cell r="A19" t="str">
            <v>Equatorial Guinea</v>
          </cell>
          <cell r="L19">
            <v>72.529137938691662</v>
          </cell>
        </row>
        <row r="20">
          <cell r="A20" t="str">
            <v>Eritrea</v>
          </cell>
          <cell r="L20">
            <v>69.805639428938377</v>
          </cell>
        </row>
        <row r="21">
          <cell r="A21" t="str">
            <v>Eswatini</v>
          </cell>
          <cell r="L21">
            <v>77.705212596172885</v>
          </cell>
        </row>
        <row r="22">
          <cell r="A22" t="str">
            <v>Ethiopia</v>
          </cell>
          <cell r="L22">
            <v>85.231567401205396</v>
          </cell>
        </row>
        <row r="23">
          <cell r="A23" t="str">
            <v>Gabon</v>
          </cell>
          <cell r="L23">
            <v>80.846625621930613</v>
          </cell>
        </row>
        <row r="24">
          <cell r="A24" t="str">
            <v>Gambia</v>
          </cell>
          <cell r="L24">
            <v>67.342356648283143</v>
          </cell>
        </row>
        <row r="25">
          <cell r="A25" t="str">
            <v>Ghana</v>
          </cell>
          <cell r="L25">
            <v>72.943583580944676</v>
          </cell>
        </row>
        <row r="26">
          <cell r="A26" t="str">
            <v>Guinea</v>
          </cell>
          <cell r="L26">
            <v>67.010250655056751</v>
          </cell>
        </row>
        <row r="27">
          <cell r="A27" t="str">
            <v>Guinea-Bissau</v>
          </cell>
          <cell r="L27">
            <v>79.920142581229157</v>
          </cell>
        </row>
        <row r="28">
          <cell r="A28" t="str">
            <v>Kenya</v>
          </cell>
          <cell r="L28">
            <v>69.787055687601622</v>
          </cell>
        </row>
        <row r="29">
          <cell r="A29" t="str">
            <v>Lesotho</v>
          </cell>
          <cell r="L29">
            <v>77.88290339735488</v>
          </cell>
        </row>
        <row r="30">
          <cell r="A30" t="str">
            <v>Liberia</v>
          </cell>
          <cell r="L30">
            <v>75.130915577938296</v>
          </cell>
        </row>
        <row r="31">
          <cell r="A31" t="str">
            <v>Madagascar</v>
          </cell>
          <cell r="L31">
            <v>64.077016590304851</v>
          </cell>
        </row>
        <row r="32">
          <cell r="A32" t="str">
            <v>Malawi</v>
          </cell>
          <cell r="L32">
            <v>69.88970546184612</v>
          </cell>
        </row>
        <row r="33">
          <cell r="A33" t="str">
            <v>Mali</v>
          </cell>
          <cell r="L33">
            <v>76.971103547685402</v>
          </cell>
        </row>
        <row r="34">
          <cell r="A34" t="str">
            <v>Mauritania</v>
          </cell>
          <cell r="L34">
            <v>81.699246693536736</v>
          </cell>
        </row>
        <row r="35">
          <cell r="A35" t="str">
            <v>Mauritius</v>
          </cell>
          <cell r="L35">
            <v>132.03916987380953</v>
          </cell>
        </row>
        <row r="36">
          <cell r="A36" t="str">
            <v>Mozambique</v>
          </cell>
          <cell r="L36">
            <v>70.027874369745504</v>
          </cell>
        </row>
        <row r="37">
          <cell r="A37" t="str">
            <v>Namibia</v>
          </cell>
          <cell r="L37">
            <v>79.353127416732889</v>
          </cell>
        </row>
        <row r="38">
          <cell r="A38" t="str">
            <v>Niger</v>
          </cell>
          <cell r="L38">
            <v>72.846700229357253</v>
          </cell>
        </row>
        <row r="39">
          <cell r="A39" t="str">
            <v>Nigeria</v>
          </cell>
          <cell r="L39">
            <v>70.585970538970415</v>
          </cell>
        </row>
        <row r="40">
          <cell r="A40" t="str">
            <v>Rwanda</v>
          </cell>
          <cell r="L40">
            <v>69.555144411921901</v>
          </cell>
        </row>
        <row r="41">
          <cell r="A41" t="str">
            <v>Sao Tome and Principe</v>
          </cell>
          <cell r="L41">
            <v>80.496792921871275</v>
          </cell>
        </row>
        <row r="42">
          <cell r="A42" t="str">
            <v>Senegal</v>
          </cell>
          <cell r="L42">
            <v>86.042703116953845</v>
          </cell>
        </row>
        <row r="43">
          <cell r="A43" t="str">
            <v>Seychelles</v>
          </cell>
          <cell r="L43">
            <v>109.25384535958335</v>
          </cell>
        </row>
        <row r="44">
          <cell r="A44" t="str">
            <v>Sierra Leone</v>
          </cell>
          <cell r="L44">
            <v>69.781714218160218</v>
          </cell>
        </row>
        <row r="45">
          <cell r="A45" t="str">
            <v>South Africa</v>
          </cell>
          <cell r="L45">
            <v>93.826703027893103</v>
          </cell>
        </row>
        <row r="46">
          <cell r="A46" t="str">
            <v>South Sudan</v>
          </cell>
          <cell r="L46">
            <v>73.180315547962564</v>
          </cell>
        </row>
        <row r="47">
          <cell r="A47" t="str">
            <v>Togo</v>
          </cell>
          <cell r="L47">
            <v>79.452155941719241</v>
          </cell>
        </row>
        <row r="48">
          <cell r="A48" t="str">
            <v>Uganda</v>
          </cell>
          <cell r="L48">
            <v>69.141526775618615</v>
          </cell>
        </row>
        <row r="49">
          <cell r="A49" t="str">
            <v>United Republic of Tanzania</v>
          </cell>
          <cell r="L49">
            <v>71.415843778879605</v>
          </cell>
        </row>
        <row r="50">
          <cell r="A50" t="str">
            <v>Zambia</v>
          </cell>
          <cell r="L50">
            <v>72.49262157053488</v>
          </cell>
        </row>
        <row r="51">
          <cell r="A51" t="str">
            <v>Zimbabwe</v>
          </cell>
          <cell r="L51">
            <v>72.825513135087078</v>
          </cell>
        </row>
        <row r="52">
          <cell r="A52" t="str">
            <v>Average of Density per 10,000 population</v>
          </cell>
          <cell r="L52">
            <v>77.758365084192718</v>
          </cell>
        </row>
        <row r="53">
          <cell r="A53" t="str">
            <v>Minimum</v>
          </cell>
          <cell r="L53">
            <v>60.995170158314878</v>
          </cell>
        </row>
        <row r="54">
          <cell r="A54" t="str">
            <v>Mazximum</v>
          </cell>
          <cell r="L54">
            <v>139.96593293708264</v>
          </cell>
        </row>
        <row r="55">
          <cell r="L55">
            <v>10.408773984369228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A8AF6-8ABE-C749-82DC-E88B0B4E200F}">
  <dimension ref="A1:C48"/>
  <sheetViews>
    <sheetView topLeftCell="A36" workbookViewId="0">
      <selection sqref="A1:C48"/>
    </sheetView>
  </sheetViews>
  <sheetFormatPr defaultColWidth="10.6640625" defaultRowHeight="16" x14ac:dyDescent="0.4"/>
  <cols>
    <col min="1" max="1" width="29.1640625" bestFit="1" customWidth="1"/>
    <col min="2" max="2" width="24.08203125" bestFit="1" customWidth="1"/>
  </cols>
  <sheetData>
    <row r="1" spans="1:3" ht="48" x14ac:dyDescent="0.4">
      <c r="A1" s="1" t="s">
        <v>0</v>
      </c>
      <c r="B1" s="3" t="s">
        <v>53</v>
      </c>
      <c r="C1" s="7" t="s">
        <v>52</v>
      </c>
    </row>
    <row r="2" spans="1:3" x14ac:dyDescent="0.4">
      <c r="A2" s="2" t="s">
        <v>1</v>
      </c>
      <c r="B2" s="4">
        <v>0.5863388478838536</v>
      </c>
      <c r="C2" s="14">
        <f>_xlfn.XLOOKUP(A2,Sheet2!A:A,Sheet2!E:E,,0)</f>
        <v>95.82723244256394</v>
      </c>
    </row>
    <row r="3" spans="1:3" x14ac:dyDescent="0.4">
      <c r="A3" s="2" t="s">
        <v>2</v>
      </c>
      <c r="B3" s="4">
        <v>0.390915027356186</v>
      </c>
      <c r="C3" s="14">
        <f>_xlfn.XLOOKUP(A3,Sheet2!A:A,Sheet2!E:E,,0)</f>
        <v>71.788443210779832</v>
      </c>
    </row>
    <row r="4" spans="1:3" x14ac:dyDescent="0.4">
      <c r="A4" s="2" t="s">
        <v>3</v>
      </c>
      <c r="B4" s="4">
        <v>0.14690210005115842</v>
      </c>
      <c r="C4" s="14">
        <f>_xlfn.XLOOKUP(A4,Sheet2!A:A,Sheet2!E:E,,0)</f>
        <v>72.368596860295639</v>
      </c>
    </row>
    <row r="5" spans="1:3" x14ac:dyDescent="0.4">
      <c r="A5" s="2" t="s">
        <v>4</v>
      </c>
      <c r="B5" s="4">
        <v>0.5411014760071281</v>
      </c>
      <c r="C5" s="14">
        <f>_xlfn.XLOOKUP(A5,Sheet2!A:A,Sheet2!E:E,,0)</f>
        <v>85.101743969426565</v>
      </c>
    </row>
    <row r="6" spans="1:3" x14ac:dyDescent="0.4">
      <c r="A6" s="2" t="s">
        <v>5</v>
      </c>
      <c r="B6" s="4">
        <v>0.20368267082127683</v>
      </c>
      <c r="C6" s="14">
        <f>_xlfn.XLOOKUP(A6,Sheet2!A:A,Sheet2!E:E,,0)</f>
        <v>77.584825865230016</v>
      </c>
    </row>
    <row r="7" spans="1:3" x14ac:dyDescent="0.4">
      <c r="A7" s="2" t="s">
        <v>6</v>
      </c>
      <c r="B7" s="4">
        <v>0.15090364799822212</v>
      </c>
      <c r="C7" s="14">
        <f>_xlfn.XLOOKUP(A7,Sheet2!A:A,Sheet2!E:E,,0)</f>
        <v>69.181855196271343</v>
      </c>
    </row>
    <row r="8" spans="1:3" x14ac:dyDescent="0.4">
      <c r="A8" s="2" t="s">
        <v>7</v>
      </c>
      <c r="B8" s="4">
        <v>0.88833911211383487</v>
      </c>
      <c r="C8" s="14">
        <f>_xlfn.XLOOKUP(A8,Sheet2!A:A,Sheet2!E:E,,0)</f>
        <v>84.408196600516646</v>
      </c>
    </row>
    <row r="9" spans="1:3" x14ac:dyDescent="0.4">
      <c r="A9" s="2" t="s">
        <v>8</v>
      </c>
      <c r="B9" s="4">
        <v>0.14244729954710311</v>
      </c>
      <c r="C9" s="14">
        <f>_xlfn.XLOOKUP(A9,Sheet2!A:A,Sheet2!E:E,,0)</f>
        <v>72.855745748891366</v>
      </c>
    </row>
    <row r="10" spans="1:3" x14ac:dyDescent="0.4">
      <c r="A10" s="2" t="s">
        <v>9</v>
      </c>
      <c r="B10" s="4">
        <v>4.0143643723825014E-2</v>
      </c>
      <c r="C10" s="14">
        <f>_xlfn.XLOOKUP(A10,Sheet2!A:A,Sheet2!E:E,,0)</f>
        <v>84.63560640092166</v>
      </c>
    </row>
    <row r="11" spans="1:3" x14ac:dyDescent="0.4">
      <c r="A11" s="2" t="s">
        <v>10</v>
      </c>
      <c r="B11" s="4">
        <v>5.2353042901568968E-2</v>
      </c>
      <c r="C11" s="14">
        <f>_xlfn.XLOOKUP(A11,Sheet2!A:A,Sheet2!E:E,,0)</f>
        <v>80.318734301801214</v>
      </c>
    </row>
    <row r="12" spans="1:3" x14ac:dyDescent="0.4">
      <c r="A12" s="2" t="s">
        <v>11</v>
      </c>
      <c r="B12" s="4">
        <v>0.30983562767054024</v>
      </c>
      <c r="C12" s="14">
        <f>_xlfn.XLOOKUP(A12,Sheet2!A:A,Sheet2!E:E,,0)</f>
        <v>77.236458029323757</v>
      </c>
    </row>
    <row r="13" spans="1:3" x14ac:dyDescent="0.4">
      <c r="A13" s="2" t="s">
        <v>12</v>
      </c>
      <c r="B13" s="4">
        <v>0.22042142035156487</v>
      </c>
      <c r="C13" s="14">
        <f>_xlfn.XLOOKUP(A13,Sheet2!A:A,Sheet2!E:E,,0)</f>
        <v>75.052075703823334</v>
      </c>
    </row>
    <row r="14" spans="1:3" x14ac:dyDescent="0.4">
      <c r="A14" s="2" t="s">
        <v>13</v>
      </c>
      <c r="B14" s="4">
        <v>0.21839275681839504</v>
      </c>
      <c r="C14" s="14">
        <f>_xlfn.XLOOKUP(A14,Sheet2!A:A,Sheet2!E:E,,0)</f>
        <v>72.052390540340483</v>
      </c>
    </row>
    <row r="15" spans="1:3" x14ac:dyDescent="0.4">
      <c r="A15" s="2" t="s">
        <v>14</v>
      </c>
      <c r="B15" s="4">
        <v>0.25148122335293077</v>
      </c>
      <c r="C15" s="14">
        <f>_xlfn.XLOOKUP(A15,Sheet2!A:A,Sheet2!E:E,,0)</f>
        <v>75.141068443349695</v>
      </c>
    </row>
    <row r="16" spans="1:3" x14ac:dyDescent="0.4">
      <c r="A16" s="2" t="s">
        <v>15</v>
      </c>
      <c r="B16" s="4">
        <v>0.19856678382451667</v>
      </c>
      <c r="C16" s="14">
        <f>_xlfn.XLOOKUP(A16,Sheet2!A:A,Sheet2!E:E,,0)</f>
        <v>72.529137938691662</v>
      </c>
    </row>
    <row r="17" spans="1:3" x14ac:dyDescent="0.4">
      <c r="A17" s="2" t="s">
        <v>16</v>
      </c>
      <c r="B17" s="4">
        <v>0.25708445986475553</v>
      </c>
      <c r="C17" s="14">
        <f>_xlfn.XLOOKUP(A17,Sheet2!A:A,Sheet2!E:E,,0)</f>
        <v>69.805639428938377</v>
      </c>
    </row>
    <row r="18" spans="1:3" x14ac:dyDescent="0.4">
      <c r="A18" s="2" t="s">
        <v>17</v>
      </c>
      <c r="B18" s="4">
        <v>0.75019485210250836</v>
      </c>
      <c r="C18" s="14">
        <f>_xlfn.XLOOKUP(A18,Sheet2!A:A,Sheet2!E:E,,0)</f>
        <v>77.705212596172885</v>
      </c>
    </row>
    <row r="19" spans="1:3" x14ac:dyDescent="0.4">
      <c r="A19" s="2" t="s">
        <v>18</v>
      </c>
      <c r="B19" s="4">
        <v>0.2550490029835068</v>
      </c>
      <c r="C19" s="14">
        <f>_xlfn.XLOOKUP(A19,Sheet2!A:A,Sheet2!E:E,,0)</f>
        <v>85.231567401205396</v>
      </c>
    </row>
    <row r="20" spans="1:3" x14ac:dyDescent="0.4">
      <c r="A20" s="2" t="s">
        <v>19</v>
      </c>
      <c r="B20" s="4">
        <v>0.45556043152468706</v>
      </c>
      <c r="C20" s="14">
        <f>_xlfn.XLOOKUP(A20,Sheet2!A:A,Sheet2!E:E,,0)</f>
        <v>80.846625621930613</v>
      </c>
    </row>
    <row r="21" spans="1:3" x14ac:dyDescent="0.4">
      <c r="A21" s="2" t="s">
        <v>20</v>
      </c>
      <c r="B21" s="4">
        <v>0.15196164692513772</v>
      </c>
      <c r="C21" s="14">
        <f>_xlfn.XLOOKUP(A21,Sheet2!A:A,Sheet2!E:E,,0)</f>
        <v>67.342356648283143</v>
      </c>
    </row>
    <row r="22" spans="1:3" x14ac:dyDescent="0.4">
      <c r="A22" s="2" t="s">
        <v>21</v>
      </c>
      <c r="B22" s="4">
        <v>0.79870350807111212</v>
      </c>
      <c r="C22" s="14">
        <f>_xlfn.XLOOKUP(A22,Sheet2!A:A,Sheet2!E:E,,0)</f>
        <v>72.943583580944676</v>
      </c>
    </row>
    <row r="23" spans="1:3" x14ac:dyDescent="0.4">
      <c r="A23" s="2" t="s">
        <v>22</v>
      </c>
      <c r="B23" s="4">
        <v>8.5262022470170173E-2</v>
      </c>
      <c r="C23" s="14">
        <f>_xlfn.XLOOKUP(A23,Sheet2!A:A,Sheet2!E:E,,0)</f>
        <v>67.010250655056751</v>
      </c>
    </row>
    <row r="24" spans="1:3" x14ac:dyDescent="0.4">
      <c r="A24" s="2" t="s">
        <v>23</v>
      </c>
      <c r="B24" s="4">
        <v>0.1814937499791934</v>
      </c>
      <c r="C24" s="14">
        <f>_xlfn.XLOOKUP(A24,Sheet2!A:A,Sheet2!E:E,,0)</f>
        <v>79.920142581229157</v>
      </c>
    </row>
    <row r="25" spans="1:3" x14ac:dyDescent="0.4">
      <c r="A25" s="2" t="s">
        <v>24</v>
      </c>
      <c r="B25" s="4">
        <v>0.39120185023059834</v>
      </c>
      <c r="C25" s="14">
        <f>_xlfn.XLOOKUP(A25,Sheet2!A:A,Sheet2!E:E,,0)</f>
        <v>69.787055687601622</v>
      </c>
    </row>
    <row r="26" spans="1:3" x14ac:dyDescent="0.4">
      <c r="A26" s="2" t="s">
        <v>25</v>
      </c>
      <c r="B26" s="4">
        <v>0.32397189459122389</v>
      </c>
      <c r="C26" s="14">
        <f>_xlfn.XLOOKUP(A26,Sheet2!A:A,Sheet2!E:E,,0)</f>
        <v>77.88290339735488</v>
      </c>
    </row>
    <row r="27" spans="1:3" x14ac:dyDescent="0.4">
      <c r="A27" s="2" t="s">
        <v>26</v>
      </c>
      <c r="B27" s="4">
        <v>0.2006444813739493</v>
      </c>
      <c r="C27" s="14">
        <f>_xlfn.XLOOKUP(A27,Sheet2!A:A,Sheet2!E:E,,0)</f>
        <v>75.130915577938296</v>
      </c>
    </row>
    <row r="28" spans="1:3" x14ac:dyDescent="0.4">
      <c r="A28" s="2" t="s">
        <v>27</v>
      </c>
      <c r="B28" s="4">
        <v>9.2677296351195648E-2</v>
      </c>
      <c r="C28" s="14">
        <f>_xlfn.XLOOKUP(A28,Sheet2!A:A,Sheet2!E:E,,0)</f>
        <v>64.077016590304851</v>
      </c>
    </row>
    <row r="29" spans="1:3" x14ac:dyDescent="0.4">
      <c r="A29" s="2" t="s">
        <v>28</v>
      </c>
      <c r="B29" s="4">
        <v>0.10507455759747236</v>
      </c>
      <c r="C29" s="14">
        <f>_xlfn.XLOOKUP(A29,Sheet2!A:A,Sheet2!E:E,,0)</f>
        <v>69.88970546184612</v>
      </c>
    </row>
    <row r="30" spans="1:3" x14ac:dyDescent="0.4">
      <c r="A30" s="2" t="s">
        <v>29</v>
      </c>
      <c r="B30" s="4">
        <v>0.11338253317564236</v>
      </c>
      <c r="C30" s="14">
        <f>_xlfn.XLOOKUP(A30,Sheet2!A:A,Sheet2!E:E,,0)</f>
        <v>76.971103547685402</v>
      </c>
    </row>
    <row r="31" spans="1:3" x14ac:dyDescent="0.4">
      <c r="A31" s="2" t="s">
        <v>30</v>
      </c>
      <c r="B31" s="4">
        <v>0.30115345719540754</v>
      </c>
      <c r="C31" s="14">
        <f>_xlfn.XLOOKUP(A31,Sheet2!A:A,Sheet2!E:E,,0)</f>
        <v>81.699246693536736</v>
      </c>
    </row>
    <row r="32" spans="1:3" x14ac:dyDescent="0.4">
      <c r="A32" s="2" t="s">
        <v>31</v>
      </c>
      <c r="B32" s="4">
        <v>0.48845715841543719</v>
      </c>
      <c r="C32" s="14">
        <f>_xlfn.XLOOKUP(A32,Sheet2!A:A,Sheet2!E:E,,0)</f>
        <v>132.03916987380953</v>
      </c>
    </row>
    <row r="33" spans="1:3" x14ac:dyDescent="0.4">
      <c r="A33" s="2" t="s">
        <v>32</v>
      </c>
      <c r="B33" s="4">
        <v>0.19825408053512436</v>
      </c>
      <c r="C33" s="14">
        <f>_xlfn.XLOOKUP(A33,Sheet2!A:A,Sheet2!E:E,,0)</f>
        <v>70.027874369745504</v>
      </c>
    </row>
    <row r="34" spans="1:3" x14ac:dyDescent="0.4">
      <c r="A34" s="2" t="s">
        <v>33</v>
      </c>
      <c r="B34" s="4">
        <v>1.0294407867215607</v>
      </c>
      <c r="C34" s="14">
        <f>_xlfn.XLOOKUP(A34,Sheet2!A:A,Sheet2!E:E,,0)</f>
        <v>79.353127416732889</v>
      </c>
    </row>
    <row r="35" spans="1:3" x14ac:dyDescent="0.4">
      <c r="A35" s="2" t="s">
        <v>34</v>
      </c>
      <c r="B35" s="4">
        <v>4.3638664037566777E-2</v>
      </c>
      <c r="C35" s="14">
        <f>_xlfn.XLOOKUP(A35,Sheet2!A:A,Sheet2!E:E,,0)</f>
        <v>72.846700229357253</v>
      </c>
    </row>
    <row r="36" spans="1:3" x14ac:dyDescent="0.4">
      <c r="A36" s="2" t="s">
        <v>35</v>
      </c>
      <c r="B36" s="4">
        <v>0.3769031848704793</v>
      </c>
      <c r="C36" s="14">
        <f>_xlfn.XLOOKUP(A36,Sheet2!A:A,Sheet2!E:E,,0)</f>
        <v>70.585970538970415</v>
      </c>
    </row>
    <row r="37" spans="1:3" x14ac:dyDescent="0.4">
      <c r="A37" s="2" t="s">
        <v>36</v>
      </c>
      <c r="B37" s="4">
        <v>0.24534480935374636</v>
      </c>
      <c r="C37" s="14">
        <f>_xlfn.XLOOKUP(A37,Sheet2!A:A,Sheet2!E:E,,0)</f>
        <v>69.555144411921901</v>
      </c>
    </row>
    <row r="38" spans="1:3" x14ac:dyDescent="0.4">
      <c r="A38" s="2" t="s">
        <v>37</v>
      </c>
      <c r="B38" s="4">
        <v>0.43501950371589759</v>
      </c>
      <c r="C38" s="14">
        <f>_xlfn.XLOOKUP(A38,Sheet2!A:A,Sheet2!E:E,,0)</f>
        <v>80.496792921871275</v>
      </c>
    </row>
    <row r="39" spans="1:3" x14ac:dyDescent="0.4">
      <c r="A39" s="2" t="s">
        <v>38</v>
      </c>
      <c r="B39" s="4">
        <v>9.4540557201377121E-2</v>
      </c>
      <c r="C39" s="14">
        <f>_xlfn.XLOOKUP(A39,Sheet2!A:A,Sheet2!E:E,,0)</f>
        <v>86.042703116953845</v>
      </c>
    </row>
    <row r="40" spans="1:3" x14ac:dyDescent="0.4">
      <c r="A40" s="2" t="s">
        <v>39</v>
      </c>
      <c r="B40" s="4">
        <v>2.4343389464236789</v>
      </c>
      <c r="C40" s="14">
        <f>_xlfn.XLOOKUP(A40,Sheet2!A:A,Sheet2!E:E,,0)</f>
        <v>109.25384535958335</v>
      </c>
    </row>
    <row r="41" spans="1:3" x14ac:dyDescent="0.4">
      <c r="A41" s="2" t="s">
        <v>40</v>
      </c>
      <c r="B41" s="4">
        <v>0.39388387303593009</v>
      </c>
      <c r="C41" s="14">
        <f>_xlfn.XLOOKUP(A41,Sheet2!A:A,Sheet2!E:E,,0)</f>
        <v>69.781714218160218</v>
      </c>
    </row>
    <row r="42" spans="1:3" x14ac:dyDescent="0.4">
      <c r="A42" s="2" t="s">
        <v>41</v>
      </c>
      <c r="B42" s="4">
        <v>0.93471715069851879</v>
      </c>
      <c r="C42" s="14">
        <f>_xlfn.XLOOKUP(A42,Sheet2!A:A,Sheet2!E:E,,0)</f>
        <v>93.826703027893103</v>
      </c>
    </row>
    <row r="43" spans="1:3" x14ac:dyDescent="0.4">
      <c r="A43" s="2" t="s">
        <v>42</v>
      </c>
      <c r="B43" s="4">
        <v>0.10887070504358017</v>
      </c>
      <c r="C43" s="14">
        <f>_xlfn.XLOOKUP(A43,Sheet2!A:A,Sheet2!E:E,,0)</f>
        <v>73.180315547962564</v>
      </c>
    </row>
    <row r="44" spans="1:3" x14ac:dyDescent="0.4">
      <c r="A44" s="2" t="s">
        <v>43</v>
      </c>
      <c r="B44" s="4">
        <v>9.6122343352710249E-2</v>
      </c>
      <c r="C44" s="14">
        <f>_xlfn.XLOOKUP(A44,Sheet2!A:A,Sheet2!E:E,,0)</f>
        <v>79.452155941719241</v>
      </c>
    </row>
    <row r="45" spans="1:3" x14ac:dyDescent="0.4">
      <c r="A45" s="2" t="s">
        <v>44</v>
      </c>
      <c r="B45" s="4">
        <v>0.44771451748370772</v>
      </c>
      <c r="C45" s="14">
        <f>_xlfn.XLOOKUP(A45,Sheet2!A:A,Sheet2!E:E,,0)</f>
        <v>69.141526775618615</v>
      </c>
    </row>
    <row r="46" spans="1:3" x14ac:dyDescent="0.4">
      <c r="A46" s="2" t="s">
        <v>45</v>
      </c>
      <c r="B46" s="4">
        <v>0.12355014614887858</v>
      </c>
      <c r="C46" s="14">
        <f>_xlfn.XLOOKUP(A46,Sheet2!A:A,Sheet2!E:E,,0)</f>
        <v>71.415843778879605</v>
      </c>
    </row>
    <row r="47" spans="1:3" x14ac:dyDescent="0.4">
      <c r="A47" s="2" t="s">
        <v>46</v>
      </c>
      <c r="B47" s="4">
        <v>0.60916420864370413</v>
      </c>
      <c r="C47" s="14">
        <f>_xlfn.XLOOKUP(A47,Sheet2!A:A,Sheet2!E:E,,0)</f>
        <v>72.49262157053488</v>
      </c>
    </row>
    <row r="48" spans="1:3" x14ac:dyDescent="0.4">
      <c r="A48" s="2" t="s">
        <v>47</v>
      </c>
      <c r="B48" s="4">
        <v>0.68219587144030425</v>
      </c>
      <c r="C48" s="14">
        <f>_xlfn.XLOOKUP(A48,Sheet2!A:A,Sheet2!E:E,,0)</f>
        <v>72.825513135087078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2CCD-62BA-44DF-AD49-8922593DF796}">
  <sheetPr filterMode="1"/>
  <dimension ref="A1:E48"/>
  <sheetViews>
    <sheetView tabSelected="1" workbookViewId="0">
      <selection activeCell="G50" sqref="G50"/>
    </sheetView>
  </sheetViews>
  <sheetFormatPr defaultRowHeight="16" x14ac:dyDescent="0.4"/>
  <cols>
    <col min="1" max="1" width="28.1640625" bestFit="1" customWidth="1"/>
    <col min="3" max="3" width="17.83203125" bestFit="1" customWidth="1"/>
    <col min="4" max="4" width="25" bestFit="1" customWidth="1"/>
  </cols>
  <sheetData>
    <row r="1" spans="1:5" x14ac:dyDescent="0.4">
      <c r="A1" t="s">
        <v>0</v>
      </c>
      <c r="B1" t="s">
        <v>54</v>
      </c>
      <c r="C1" t="s">
        <v>52</v>
      </c>
      <c r="D1" t="s">
        <v>53</v>
      </c>
      <c r="E1" t="s">
        <v>103</v>
      </c>
    </row>
    <row r="2" spans="1:5" hidden="1" x14ac:dyDescent="0.4">
      <c r="A2" t="s">
        <v>1</v>
      </c>
      <c r="B2">
        <v>0.5863388478838536</v>
      </c>
      <c r="C2">
        <v>95.82723244256394</v>
      </c>
      <c r="D2">
        <f>B2*100</f>
        <v>58.633884788385359</v>
      </c>
      <c r="E2" t="str">
        <f>VLOOKUP(A2,Sheet4!A$2:B$48,2,FALSE)</f>
        <v>DZA</v>
      </c>
    </row>
    <row r="3" spans="1:5" hidden="1" x14ac:dyDescent="0.4">
      <c r="A3" t="s">
        <v>2</v>
      </c>
      <c r="B3">
        <v>0.390915027356186</v>
      </c>
      <c r="C3">
        <v>71.788443210779832</v>
      </c>
      <c r="D3">
        <f t="shared" ref="D3:D48" si="0">B3*100</f>
        <v>39.091502735618597</v>
      </c>
      <c r="E3" t="str">
        <f>VLOOKUP(A3,Sheet4!A$2:B$48,2,FALSE)</f>
        <v>AGO</v>
      </c>
    </row>
    <row r="4" spans="1:5" hidden="1" x14ac:dyDescent="0.4">
      <c r="A4" t="s">
        <v>3</v>
      </c>
      <c r="B4">
        <v>0.14690210005115842</v>
      </c>
      <c r="C4">
        <v>72.368596860295639</v>
      </c>
      <c r="D4">
        <f t="shared" si="0"/>
        <v>14.690210005115842</v>
      </c>
      <c r="E4" t="str">
        <f>VLOOKUP(A4,Sheet4!A$2:B$48,2,FALSE)</f>
        <v>BEN</v>
      </c>
    </row>
    <row r="5" spans="1:5" hidden="1" x14ac:dyDescent="0.4">
      <c r="A5" t="s">
        <v>4</v>
      </c>
      <c r="B5">
        <v>0.5411014760071281</v>
      </c>
      <c r="C5">
        <v>85.101743969426565</v>
      </c>
      <c r="D5">
        <f t="shared" si="0"/>
        <v>54.110147600712807</v>
      </c>
      <c r="E5" t="str">
        <f>VLOOKUP(A5,Sheet4!A$2:B$48,2,FALSE)</f>
        <v>BWA</v>
      </c>
    </row>
    <row r="6" spans="1:5" hidden="1" x14ac:dyDescent="0.4">
      <c r="A6" t="s">
        <v>5</v>
      </c>
      <c r="B6">
        <v>0.20368267082127683</v>
      </c>
      <c r="C6">
        <v>77.584825865230016</v>
      </c>
      <c r="D6">
        <f t="shared" si="0"/>
        <v>20.368267082127684</v>
      </c>
      <c r="E6" t="str">
        <f>VLOOKUP(A6,Sheet4!A$2:B$48,2,FALSE)</f>
        <v>BFA</v>
      </c>
    </row>
    <row r="7" spans="1:5" hidden="1" x14ac:dyDescent="0.4">
      <c r="A7" t="s">
        <v>6</v>
      </c>
      <c r="B7">
        <v>0.15090364799822212</v>
      </c>
      <c r="C7">
        <v>69.181855196271343</v>
      </c>
      <c r="D7">
        <f t="shared" si="0"/>
        <v>15.090364799822211</v>
      </c>
      <c r="E7" t="str">
        <f>VLOOKUP(A7,Sheet4!A$2:B$48,2,FALSE)</f>
        <v>BDI</v>
      </c>
    </row>
    <row r="8" spans="1:5" x14ac:dyDescent="0.4">
      <c r="A8" t="s">
        <v>7</v>
      </c>
      <c r="B8">
        <v>0.88833911211383487</v>
      </c>
      <c r="C8">
        <v>84.408196600516646</v>
      </c>
      <c r="D8">
        <f t="shared" si="0"/>
        <v>88.83391121138348</v>
      </c>
      <c r="E8" t="str">
        <f>VLOOKUP(A8,Sheet4!A$2:B$48,2,FALSE)</f>
        <v>CPV</v>
      </c>
    </row>
    <row r="9" spans="1:5" hidden="1" x14ac:dyDescent="0.4">
      <c r="A9" t="s">
        <v>8</v>
      </c>
      <c r="B9">
        <v>0.14244729954710311</v>
      </c>
      <c r="C9">
        <v>72.855745748891366</v>
      </c>
      <c r="D9">
        <f t="shared" si="0"/>
        <v>14.244729954710312</v>
      </c>
      <c r="E9" t="str">
        <f>VLOOKUP(A9,Sheet4!A$2:B$48,2,FALSE)</f>
        <v>CMR</v>
      </c>
    </row>
    <row r="10" spans="1:5" hidden="1" x14ac:dyDescent="0.4">
      <c r="A10" t="s">
        <v>9</v>
      </c>
      <c r="B10">
        <v>4.0143643723825014E-2</v>
      </c>
      <c r="C10">
        <v>84.63560640092166</v>
      </c>
      <c r="D10">
        <f t="shared" si="0"/>
        <v>4.0143643723825013</v>
      </c>
      <c r="E10" t="str">
        <f>VLOOKUP(A10,Sheet4!A$2:B$48,2,FALSE)</f>
        <v>CAF</v>
      </c>
    </row>
    <row r="11" spans="1:5" hidden="1" x14ac:dyDescent="0.4">
      <c r="A11" t="s">
        <v>10</v>
      </c>
      <c r="B11">
        <v>5.2353042901568968E-2</v>
      </c>
      <c r="C11">
        <v>80.318734301801214</v>
      </c>
      <c r="D11">
        <f t="shared" si="0"/>
        <v>5.2353042901568969</v>
      </c>
      <c r="E11" t="str">
        <f>VLOOKUP(A11,Sheet4!A$2:B$48,2,FALSE)</f>
        <v>TCD</v>
      </c>
    </row>
    <row r="12" spans="1:5" x14ac:dyDescent="0.4">
      <c r="A12" t="s">
        <v>11</v>
      </c>
      <c r="B12">
        <v>0.30983562767054024</v>
      </c>
      <c r="C12">
        <v>77.236458029323757</v>
      </c>
      <c r="D12">
        <f t="shared" si="0"/>
        <v>30.983562767054025</v>
      </c>
      <c r="E12" t="str">
        <f>VLOOKUP(A12,Sheet4!A$2:B$48,2,FALSE)</f>
        <v>COM</v>
      </c>
    </row>
    <row r="13" spans="1:5" hidden="1" x14ac:dyDescent="0.4">
      <c r="A13" t="s">
        <v>12</v>
      </c>
      <c r="B13">
        <v>0.22042142035156487</v>
      </c>
      <c r="C13">
        <v>75.052075703823334</v>
      </c>
      <c r="D13">
        <f t="shared" si="0"/>
        <v>22.042142035156488</v>
      </c>
      <c r="E13" t="str">
        <f>VLOOKUP(A13,Sheet4!A$2:B$48,2,FALSE)</f>
        <v>COG</v>
      </c>
    </row>
    <row r="14" spans="1:5" hidden="1" x14ac:dyDescent="0.4">
      <c r="A14" t="s">
        <v>13</v>
      </c>
      <c r="B14">
        <v>0.21839275681839504</v>
      </c>
      <c r="C14">
        <v>72.052390540340483</v>
      </c>
      <c r="D14">
        <f t="shared" si="0"/>
        <v>21.839275681839503</v>
      </c>
      <c r="E14" t="str">
        <f>VLOOKUP(A14,Sheet4!A$2:B$48,2,FALSE)</f>
        <v>CIV</v>
      </c>
    </row>
    <row r="15" spans="1:5" hidden="1" x14ac:dyDescent="0.4">
      <c r="A15" t="s">
        <v>14</v>
      </c>
      <c r="B15">
        <v>0.25148122335293077</v>
      </c>
      <c r="C15">
        <v>75.141068443349695</v>
      </c>
      <c r="D15">
        <f t="shared" si="0"/>
        <v>25.148122335293078</v>
      </c>
      <c r="E15" t="str">
        <f>VLOOKUP(A15,Sheet4!A$2:B$48,2,FALSE)</f>
        <v>COD</v>
      </c>
    </row>
    <row r="16" spans="1:5" hidden="1" x14ac:dyDescent="0.4">
      <c r="A16" t="s">
        <v>15</v>
      </c>
      <c r="B16">
        <v>0.19856678382451667</v>
      </c>
      <c r="C16">
        <v>72.529137938691662</v>
      </c>
      <c r="D16">
        <f t="shared" si="0"/>
        <v>19.856678382451669</v>
      </c>
      <c r="E16" t="str">
        <f>VLOOKUP(A16,Sheet4!A$2:B$48,2,FALSE)</f>
        <v>GNQ</v>
      </c>
    </row>
    <row r="17" spans="1:5" hidden="1" x14ac:dyDescent="0.4">
      <c r="A17" t="s">
        <v>16</v>
      </c>
      <c r="B17">
        <v>0.25708445986475553</v>
      </c>
      <c r="C17">
        <v>69.805639428938377</v>
      </c>
      <c r="D17">
        <f t="shared" si="0"/>
        <v>25.708445986475553</v>
      </c>
      <c r="E17" t="str">
        <f>VLOOKUP(A17,Sheet4!A$2:B$48,2,FALSE)</f>
        <v>ERI</v>
      </c>
    </row>
    <row r="18" spans="1:5" hidden="1" x14ac:dyDescent="0.4">
      <c r="A18" t="s">
        <v>17</v>
      </c>
      <c r="B18">
        <v>0.75019485210250836</v>
      </c>
      <c r="C18">
        <v>77.705212596172885</v>
      </c>
      <c r="D18">
        <f t="shared" si="0"/>
        <v>75.019485210250835</v>
      </c>
      <c r="E18" t="str">
        <f>VLOOKUP(A18,Sheet4!A$2:B$48,2,FALSE)</f>
        <v>SWZ</v>
      </c>
    </row>
    <row r="19" spans="1:5" hidden="1" x14ac:dyDescent="0.4">
      <c r="A19" t="s">
        <v>18</v>
      </c>
      <c r="B19">
        <v>0.2550490029835068</v>
      </c>
      <c r="C19">
        <v>85.231567401205396</v>
      </c>
      <c r="D19">
        <f t="shared" si="0"/>
        <v>25.50490029835068</v>
      </c>
      <c r="E19" t="str">
        <f>VLOOKUP(A19,Sheet4!A$2:B$48,2,FALSE)</f>
        <v>ETH</v>
      </c>
    </row>
    <row r="20" spans="1:5" hidden="1" x14ac:dyDescent="0.4">
      <c r="A20" t="s">
        <v>19</v>
      </c>
      <c r="B20">
        <v>0.45556043152468706</v>
      </c>
      <c r="C20">
        <v>80.846625621930613</v>
      </c>
      <c r="D20">
        <f t="shared" si="0"/>
        <v>45.556043152468703</v>
      </c>
      <c r="E20" t="str">
        <f>VLOOKUP(A20,Sheet4!A$2:B$48,2,FALSE)</f>
        <v>GAB</v>
      </c>
    </row>
    <row r="21" spans="1:5" hidden="1" x14ac:dyDescent="0.4">
      <c r="A21" t="s">
        <v>20</v>
      </c>
      <c r="B21">
        <v>0.15196164692513772</v>
      </c>
      <c r="C21">
        <v>67.342356648283143</v>
      </c>
      <c r="D21">
        <f t="shared" si="0"/>
        <v>15.196164692513772</v>
      </c>
      <c r="E21" t="str">
        <f>VLOOKUP(A21,Sheet4!A$2:B$48,2,FALSE)</f>
        <v>GMB</v>
      </c>
    </row>
    <row r="22" spans="1:5" hidden="1" x14ac:dyDescent="0.4">
      <c r="A22" t="s">
        <v>21</v>
      </c>
      <c r="B22">
        <v>0.79870350807111212</v>
      </c>
      <c r="C22">
        <v>72.943583580944676</v>
      </c>
      <c r="D22">
        <f t="shared" si="0"/>
        <v>79.870350807111208</v>
      </c>
      <c r="E22" t="str">
        <f>VLOOKUP(A22,Sheet4!A$2:B$48,2,FALSE)</f>
        <v>GHA</v>
      </c>
    </row>
    <row r="23" spans="1:5" hidden="1" x14ac:dyDescent="0.4">
      <c r="A23" t="s">
        <v>22</v>
      </c>
      <c r="B23">
        <v>8.5262022470170173E-2</v>
      </c>
      <c r="C23">
        <v>67.010250655056751</v>
      </c>
      <c r="D23">
        <f t="shared" si="0"/>
        <v>8.526202247017018</v>
      </c>
      <c r="E23" t="str">
        <f>VLOOKUP(A23,Sheet4!A$2:B$48,2,FALSE)</f>
        <v>GIN</v>
      </c>
    </row>
    <row r="24" spans="1:5" hidden="1" x14ac:dyDescent="0.4">
      <c r="A24" t="s">
        <v>23</v>
      </c>
      <c r="B24">
        <v>0.1814937499791934</v>
      </c>
      <c r="C24">
        <v>79.920142581229157</v>
      </c>
      <c r="D24">
        <f t="shared" si="0"/>
        <v>18.149374997919342</v>
      </c>
      <c r="E24" t="str">
        <f>VLOOKUP(A24,Sheet4!A$2:B$48,2,FALSE)</f>
        <v>GNB</v>
      </c>
    </row>
    <row r="25" spans="1:5" hidden="1" x14ac:dyDescent="0.4">
      <c r="A25" t="s">
        <v>24</v>
      </c>
      <c r="B25">
        <v>0.39120185023059834</v>
      </c>
      <c r="C25">
        <v>69.787055687601622</v>
      </c>
      <c r="D25">
        <f t="shared" si="0"/>
        <v>39.120185023059832</v>
      </c>
      <c r="E25" t="str">
        <f>VLOOKUP(A25,Sheet4!A$2:B$48,2,FALSE)</f>
        <v>KEN</v>
      </c>
    </row>
    <row r="26" spans="1:5" hidden="1" x14ac:dyDescent="0.4">
      <c r="A26" t="s">
        <v>25</v>
      </c>
      <c r="B26">
        <v>0.32397189459122389</v>
      </c>
      <c r="C26">
        <v>77.88290339735488</v>
      </c>
      <c r="D26">
        <f t="shared" si="0"/>
        <v>32.397189459122387</v>
      </c>
      <c r="E26" t="str">
        <f>VLOOKUP(A26,Sheet4!A$2:B$48,2,FALSE)</f>
        <v>LSO</v>
      </c>
    </row>
    <row r="27" spans="1:5" hidden="1" x14ac:dyDescent="0.4">
      <c r="A27" t="s">
        <v>26</v>
      </c>
      <c r="B27">
        <v>0.2006444813739493</v>
      </c>
      <c r="C27">
        <v>75.130915577938296</v>
      </c>
      <c r="D27">
        <f t="shared" si="0"/>
        <v>20.06444813739493</v>
      </c>
      <c r="E27" t="str">
        <f>VLOOKUP(A27,Sheet4!A$2:B$48,2,FALSE)</f>
        <v>LBR</v>
      </c>
    </row>
    <row r="28" spans="1:5" hidden="1" x14ac:dyDescent="0.4">
      <c r="A28" t="s">
        <v>27</v>
      </c>
      <c r="B28">
        <v>9.2677296351195648E-2</v>
      </c>
      <c r="C28">
        <v>64.077016590304851</v>
      </c>
      <c r="D28">
        <f t="shared" si="0"/>
        <v>9.267729635119565</v>
      </c>
      <c r="E28" t="str">
        <f>VLOOKUP(A28,Sheet4!A$2:B$48,2,FALSE)</f>
        <v>MDG</v>
      </c>
    </row>
    <row r="29" spans="1:5" hidden="1" x14ac:dyDescent="0.4">
      <c r="A29" t="s">
        <v>28</v>
      </c>
      <c r="B29">
        <v>0.10507455759747236</v>
      </c>
      <c r="C29">
        <v>69.88970546184612</v>
      </c>
      <c r="D29">
        <f t="shared" si="0"/>
        <v>10.507455759747236</v>
      </c>
      <c r="E29" t="str">
        <f>VLOOKUP(A29,Sheet4!A$2:B$48,2,FALSE)</f>
        <v>MWI</v>
      </c>
    </row>
    <row r="30" spans="1:5" hidden="1" x14ac:dyDescent="0.4">
      <c r="A30" t="s">
        <v>29</v>
      </c>
      <c r="B30">
        <v>0.11338253317564236</v>
      </c>
      <c r="C30">
        <v>76.971103547685402</v>
      </c>
      <c r="D30">
        <f t="shared" si="0"/>
        <v>11.338253317564236</v>
      </c>
      <c r="E30" t="str">
        <f>VLOOKUP(A30,Sheet4!A$2:B$48,2,FALSE)</f>
        <v>MLI</v>
      </c>
    </row>
    <row r="31" spans="1:5" hidden="1" x14ac:dyDescent="0.4">
      <c r="A31" t="s">
        <v>30</v>
      </c>
      <c r="B31">
        <v>0.30115345719540754</v>
      </c>
      <c r="C31">
        <v>81.699246693536736</v>
      </c>
      <c r="D31">
        <f t="shared" si="0"/>
        <v>30.115345719540755</v>
      </c>
      <c r="E31" t="str">
        <f>VLOOKUP(A31,Sheet4!A$2:B$48,2,FALSE)</f>
        <v>MRT</v>
      </c>
    </row>
    <row r="32" spans="1:5" x14ac:dyDescent="0.4">
      <c r="A32" t="s">
        <v>31</v>
      </c>
      <c r="B32">
        <v>0.48845715841543719</v>
      </c>
      <c r="C32">
        <v>132.03916987380953</v>
      </c>
      <c r="D32">
        <f t="shared" si="0"/>
        <v>48.845715841543722</v>
      </c>
      <c r="E32" t="str">
        <f>VLOOKUP(A32,Sheet4!A$2:B$48,2,FALSE)</f>
        <v>MUS</v>
      </c>
    </row>
    <row r="33" spans="1:5" hidden="1" x14ac:dyDescent="0.4">
      <c r="A33" t="s">
        <v>32</v>
      </c>
      <c r="B33">
        <v>0.19825408053512436</v>
      </c>
      <c r="C33">
        <v>70.027874369745504</v>
      </c>
      <c r="D33">
        <f t="shared" si="0"/>
        <v>19.825408053512437</v>
      </c>
      <c r="E33" t="str">
        <f>VLOOKUP(A33,Sheet4!A$2:B$48,2,FALSE)</f>
        <v>MOZ</v>
      </c>
    </row>
    <row r="34" spans="1:5" hidden="1" x14ac:dyDescent="0.4">
      <c r="A34" t="s">
        <v>33</v>
      </c>
      <c r="B34">
        <v>1.0294407867215607</v>
      </c>
      <c r="C34">
        <v>79.353127416732889</v>
      </c>
      <c r="D34">
        <f t="shared" si="0"/>
        <v>102.94407867215607</v>
      </c>
      <c r="E34" t="str">
        <f>VLOOKUP(A34,Sheet4!A$2:B$48,2,FALSE)</f>
        <v>NAM</v>
      </c>
    </row>
    <row r="35" spans="1:5" hidden="1" x14ac:dyDescent="0.4">
      <c r="A35" t="s">
        <v>34</v>
      </c>
      <c r="B35">
        <v>4.3638664037566777E-2</v>
      </c>
      <c r="C35">
        <v>72.846700229357253</v>
      </c>
      <c r="D35">
        <f t="shared" si="0"/>
        <v>4.3638664037566777</v>
      </c>
      <c r="E35" t="str">
        <f>VLOOKUP(A35,Sheet4!A$2:B$48,2,FALSE)</f>
        <v>NER</v>
      </c>
    </row>
    <row r="36" spans="1:5" hidden="1" x14ac:dyDescent="0.4">
      <c r="A36" t="s">
        <v>35</v>
      </c>
      <c r="B36">
        <v>0.3769031848704793</v>
      </c>
      <c r="C36">
        <v>70.585970538970415</v>
      </c>
      <c r="D36">
        <f t="shared" si="0"/>
        <v>37.690318487047932</v>
      </c>
      <c r="E36" t="str">
        <f>VLOOKUP(A36,Sheet4!A$2:B$48,2,FALSE)</f>
        <v>NGA</v>
      </c>
    </row>
    <row r="37" spans="1:5" hidden="1" x14ac:dyDescent="0.4">
      <c r="A37" t="s">
        <v>36</v>
      </c>
      <c r="B37">
        <v>0.24534480935374636</v>
      </c>
      <c r="C37">
        <v>69.555144411921901</v>
      </c>
      <c r="D37">
        <f t="shared" si="0"/>
        <v>24.534480935374635</v>
      </c>
      <c r="E37" t="str">
        <f>VLOOKUP(A37,Sheet4!A$2:B$48,2,FALSE)</f>
        <v>RWA</v>
      </c>
    </row>
    <row r="38" spans="1:5" x14ac:dyDescent="0.4">
      <c r="A38" t="s">
        <v>37</v>
      </c>
      <c r="B38">
        <v>0.43501950371589759</v>
      </c>
      <c r="C38">
        <v>80.496792921871275</v>
      </c>
      <c r="D38">
        <f t="shared" si="0"/>
        <v>43.501950371589757</v>
      </c>
      <c r="E38" t="str">
        <f>VLOOKUP(A38,Sheet4!A$2:B$48,2,FALSE)</f>
        <v>STP</v>
      </c>
    </row>
    <row r="39" spans="1:5" hidden="1" x14ac:dyDescent="0.4">
      <c r="A39" t="s">
        <v>38</v>
      </c>
      <c r="B39">
        <v>9.4540557201377121E-2</v>
      </c>
      <c r="C39">
        <v>86.042703116953845</v>
      </c>
      <c r="D39">
        <f t="shared" si="0"/>
        <v>9.4540557201377116</v>
      </c>
      <c r="E39" t="str">
        <f>VLOOKUP(A39,Sheet4!A$2:B$48,2,FALSE)</f>
        <v>SEN</v>
      </c>
    </row>
    <row r="40" spans="1:5" x14ac:dyDescent="0.4">
      <c r="A40" t="s">
        <v>39</v>
      </c>
      <c r="B40">
        <v>2.4343389464236789</v>
      </c>
      <c r="C40">
        <v>109.25384535958335</v>
      </c>
      <c r="D40">
        <f t="shared" si="0"/>
        <v>243.43389464236787</v>
      </c>
      <c r="E40" t="str">
        <f>VLOOKUP(A40,Sheet4!A$2:B$48,2,FALSE)</f>
        <v>SYC</v>
      </c>
    </row>
    <row r="41" spans="1:5" hidden="1" x14ac:dyDescent="0.4">
      <c r="A41" t="s">
        <v>40</v>
      </c>
      <c r="B41">
        <v>0.39388387303593009</v>
      </c>
      <c r="C41">
        <v>69.781714218160218</v>
      </c>
      <c r="D41">
        <f t="shared" si="0"/>
        <v>39.388387303593007</v>
      </c>
      <c r="E41" t="str">
        <f>VLOOKUP(A41,Sheet4!A$2:B$48,2,FALSE)</f>
        <v>SLE</v>
      </c>
    </row>
    <row r="42" spans="1:5" hidden="1" x14ac:dyDescent="0.4">
      <c r="A42" t="s">
        <v>41</v>
      </c>
      <c r="B42">
        <v>0.93471715069851879</v>
      </c>
      <c r="C42">
        <v>93.826703027893103</v>
      </c>
      <c r="D42">
        <f t="shared" si="0"/>
        <v>93.471715069851882</v>
      </c>
      <c r="E42" t="str">
        <f>VLOOKUP(A42,Sheet4!A$2:B$48,2,FALSE)</f>
        <v>ZAF</v>
      </c>
    </row>
    <row r="43" spans="1:5" hidden="1" x14ac:dyDescent="0.4">
      <c r="A43" t="s">
        <v>42</v>
      </c>
      <c r="B43">
        <v>0.10887070504358017</v>
      </c>
      <c r="C43">
        <v>73.180315547962564</v>
      </c>
      <c r="D43">
        <f t="shared" si="0"/>
        <v>10.887070504358016</v>
      </c>
      <c r="E43" t="str">
        <f>VLOOKUP(A43,Sheet4!A$2:B$48,2,FALSE)</f>
        <v>SSD</v>
      </c>
    </row>
    <row r="44" spans="1:5" hidden="1" x14ac:dyDescent="0.4">
      <c r="A44" t="s">
        <v>43</v>
      </c>
      <c r="B44">
        <v>9.6122343352710249E-2</v>
      </c>
      <c r="C44">
        <v>79.452155941719241</v>
      </c>
      <c r="D44">
        <f t="shared" si="0"/>
        <v>9.6122343352710242</v>
      </c>
      <c r="E44" t="str">
        <f>VLOOKUP(A44,Sheet4!A$2:B$48,2,FALSE)</f>
        <v>TGO</v>
      </c>
    </row>
    <row r="45" spans="1:5" hidden="1" x14ac:dyDescent="0.4">
      <c r="A45" t="s">
        <v>44</v>
      </c>
      <c r="B45">
        <v>0.44771451748370772</v>
      </c>
      <c r="C45">
        <v>69.141526775618615</v>
      </c>
      <c r="D45">
        <f t="shared" si="0"/>
        <v>44.771451748370772</v>
      </c>
      <c r="E45" t="str">
        <f>VLOOKUP(A45,Sheet4!A$2:B$48,2,FALSE)</f>
        <v>UGA</v>
      </c>
    </row>
    <row r="46" spans="1:5" hidden="1" x14ac:dyDescent="0.4">
      <c r="A46" t="s">
        <v>45</v>
      </c>
      <c r="B46">
        <v>0.12355014614887858</v>
      </c>
      <c r="C46">
        <v>71.415843778879605</v>
      </c>
      <c r="D46">
        <f t="shared" si="0"/>
        <v>12.355014614887857</v>
      </c>
      <c r="E46" t="str">
        <f>VLOOKUP(A46,Sheet4!A$2:B$48,2,FALSE)</f>
        <v>TZA</v>
      </c>
    </row>
    <row r="47" spans="1:5" hidden="1" x14ac:dyDescent="0.4">
      <c r="A47" t="s">
        <v>46</v>
      </c>
      <c r="B47">
        <v>0.60916420864370413</v>
      </c>
      <c r="C47">
        <v>72.49262157053488</v>
      </c>
      <c r="D47">
        <f t="shared" si="0"/>
        <v>60.916420864370416</v>
      </c>
      <c r="E47" t="str">
        <f>VLOOKUP(A47,Sheet4!A$2:B$48,2,FALSE)</f>
        <v>ZMB</v>
      </c>
    </row>
    <row r="48" spans="1:5" hidden="1" x14ac:dyDescent="0.4">
      <c r="A48" t="s">
        <v>47</v>
      </c>
      <c r="B48">
        <v>0.68219587144030425</v>
      </c>
      <c r="C48">
        <v>72.825513135087078</v>
      </c>
      <c r="D48">
        <f t="shared" si="0"/>
        <v>68.219587144030427</v>
      </c>
      <c r="E48" t="str">
        <f>VLOOKUP(A48,Sheet4!A$2:B$48,2,FALSE)</f>
        <v>ZWE</v>
      </c>
    </row>
  </sheetData>
  <autoFilter ref="A1:E48" xr:uid="{C4672CCD-62BA-44DF-AD49-8922593DF796}">
    <filterColumn colId="0">
      <filters>
        <filter val="Cabo Verde"/>
        <filter val="Comoros"/>
        <filter val="Mauritius"/>
        <filter val="Sao Tome and Principe"/>
        <filter val="Seychelle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6C2F-2E9A-4A68-BC70-7B7CF4D18AF3}">
  <dimension ref="A1:B48"/>
  <sheetViews>
    <sheetView topLeftCell="A43" workbookViewId="0">
      <selection activeCell="A44" sqref="A44"/>
    </sheetView>
  </sheetViews>
  <sheetFormatPr defaultRowHeight="16" x14ac:dyDescent="0.4"/>
  <sheetData>
    <row r="1" spans="1:2" x14ac:dyDescent="0.4">
      <c r="A1" t="s">
        <v>48</v>
      </c>
      <c r="B1" t="s">
        <v>55</v>
      </c>
    </row>
    <row r="2" spans="1:2" x14ac:dyDescent="0.4">
      <c r="A2" t="s">
        <v>1</v>
      </c>
      <c r="B2" t="s">
        <v>56</v>
      </c>
    </row>
    <row r="3" spans="1:2" x14ac:dyDescent="0.4">
      <c r="A3" t="s">
        <v>2</v>
      </c>
      <c r="B3" t="s">
        <v>57</v>
      </c>
    </row>
    <row r="4" spans="1:2" x14ac:dyDescent="0.4">
      <c r="A4" t="s">
        <v>3</v>
      </c>
      <c r="B4" t="s">
        <v>58</v>
      </c>
    </row>
    <row r="5" spans="1:2" x14ac:dyDescent="0.4">
      <c r="A5" t="s">
        <v>4</v>
      </c>
      <c r="B5" t="s">
        <v>59</v>
      </c>
    </row>
    <row r="6" spans="1:2" x14ac:dyDescent="0.4">
      <c r="A6" t="s">
        <v>5</v>
      </c>
      <c r="B6" t="s">
        <v>60</v>
      </c>
    </row>
    <row r="7" spans="1:2" x14ac:dyDescent="0.4">
      <c r="A7" t="s">
        <v>6</v>
      </c>
      <c r="B7" t="s">
        <v>61</v>
      </c>
    </row>
    <row r="8" spans="1:2" x14ac:dyDescent="0.4">
      <c r="A8" t="s">
        <v>8</v>
      </c>
      <c r="B8" t="s">
        <v>62</v>
      </c>
    </row>
    <row r="9" spans="1:2" x14ac:dyDescent="0.4">
      <c r="A9" t="s">
        <v>7</v>
      </c>
      <c r="B9" t="s">
        <v>63</v>
      </c>
    </row>
    <row r="10" spans="1:2" x14ac:dyDescent="0.4">
      <c r="A10" t="s">
        <v>9</v>
      </c>
      <c r="B10" t="s">
        <v>64</v>
      </c>
    </row>
    <row r="11" spans="1:2" x14ac:dyDescent="0.4">
      <c r="A11" t="s">
        <v>10</v>
      </c>
      <c r="B11" t="s">
        <v>65</v>
      </c>
    </row>
    <row r="12" spans="1:2" x14ac:dyDescent="0.4">
      <c r="A12" t="s">
        <v>11</v>
      </c>
      <c r="B12" t="s">
        <v>66</v>
      </c>
    </row>
    <row r="13" spans="1:2" x14ac:dyDescent="0.4">
      <c r="A13" t="s">
        <v>12</v>
      </c>
      <c r="B13" t="s">
        <v>67</v>
      </c>
    </row>
    <row r="14" spans="1:2" x14ac:dyDescent="0.4">
      <c r="A14" t="s">
        <v>13</v>
      </c>
      <c r="B14" t="s">
        <v>68</v>
      </c>
    </row>
    <row r="15" spans="1:2" x14ac:dyDescent="0.4">
      <c r="A15" t="s">
        <v>14</v>
      </c>
      <c r="B15" t="s">
        <v>69</v>
      </c>
    </row>
    <row r="16" spans="1:2" x14ac:dyDescent="0.4">
      <c r="A16" t="s">
        <v>15</v>
      </c>
      <c r="B16" t="s">
        <v>70</v>
      </c>
    </row>
    <row r="17" spans="1:2" x14ac:dyDescent="0.4">
      <c r="A17" t="s">
        <v>16</v>
      </c>
      <c r="B17" t="s">
        <v>71</v>
      </c>
    </row>
    <row r="18" spans="1:2" x14ac:dyDescent="0.4">
      <c r="A18" t="s">
        <v>17</v>
      </c>
      <c r="B18" t="s">
        <v>72</v>
      </c>
    </row>
    <row r="19" spans="1:2" x14ac:dyDescent="0.4">
      <c r="A19" t="s">
        <v>18</v>
      </c>
      <c r="B19" t="s">
        <v>73</v>
      </c>
    </row>
    <row r="20" spans="1:2" x14ac:dyDescent="0.4">
      <c r="A20" t="s">
        <v>19</v>
      </c>
      <c r="B20" t="s">
        <v>74</v>
      </c>
    </row>
    <row r="21" spans="1:2" x14ac:dyDescent="0.4">
      <c r="A21" t="s">
        <v>20</v>
      </c>
      <c r="B21" t="s">
        <v>75</v>
      </c>
    </row>
    <row r="22" spans="1:2" x14ac:dyDescent="0.4">
      <c r="A22" t="s">
        <v>21</v>
      </c>
      <c r="B22" t="s">
        <v>76</v>
      </c>
    </row>
    <row r="23" spans="1:2" x14ac:dyDescent="0.4">
      <c r="A23" t="s">
        <v>22</v>
      </c>
      <c r="B23" t="s">
        <v>77</v>
      </c>
    </row>
    <row r="24" spans="1:2" x14ac:dyDescent="0.4">
      <c r="A24" t="s">
        <v>23</v>
      </c>
      <c r="B24" t="s">
        <v>78</v>
      </c>
    </row>
    <row r="25" spans="1:2" x14ac:dyDescent="0.4">
      <c r="A25" t="s">
        <v>24</v>
      </c>
      <c r="B25" t="s">
        <v>79</v>
      </c>
    </row>
    <row r="26" spans="1:2" x14ac:dyDescent="0.4">
      <c r="A26" t="s">
        <v>25</v>
      </c>
      <c r="B26" t="s">
        <v>80</v>
      </c>
    </row>
    <row r="27" spans="1:2" x14ac:dyDescent="0.4">
      <c r="A27" t="s">
        <v>26</v>
      </c>
      <c r="B27" t="s">
        <v>81</v>
      </c>
    </row>
    <row r="28" spans="1:2" x14ac:dyDescent="0.4">
      <c r="A28" t="s">
        <v>27</v>
      </c>
      <c r="B28" t="s">
        <v>82</v>
      </c>
    </row>
    <row r="29" spans="1:2" x14ac:dyDescent="0.4">
      <c r="A29" t="s">
        <v>28</v>
      </c>
      <c r="B29" t="s">
        <v>83</v>
      </c>
    </row>
    <row r="30" spans="1:2" x14ac:dyDescent="0.4">
      <c r="A30" t="s">
        <v>29</v>
      </c>
      <c r="B30" t="s">
        <v>84</v>
      </c>
    </row>
    <row r="31" spans="1:2" x14ac:dyDescent="0.4">
      <c r="A31" t="s">
        <v>30</v>
      </c>
      <c r="B31" t="s">
        <v>85</v>
      </c>
    </row>
    <row r="32" spans="1:2" x14ac:dyDescent="0.4">
      <c r="A32" t="s">
        <v>31</v>
      </c>
      <c r="B32" t="s">
        <v>86</v>
      </c>
    </row>
    <row r="33" spans="1:2" x14ac:dyDescent="0.4">
      <c r="A33" t="s">
        <v>32</v>
      </c>
      <c r="B33" t="s">
        <v>87</v>
      </c>
    </row>
    <row r="34" spans="1:2" x14ac:dyDescent="0.4">
      <c r="A34" t="s">
        <v>33</v>
      </c>
      <c r="B34" t="s">
        <v>88</v>
      </c>
    </row>
    <row r="35" spans="1:2" x14ac:dyDescent="0.4">
      <c r="A35" t="s">
        <v>34</v>
      </c>
      <c r="B35" t="s">
        <v>89</v>
      </c>
    </row>
    <row r="36" spans="1:2" x14ac:dyDescent="0.4">
      <c r="A36" t="s">
        <v>35</v>
      </c>
      <c r="B36" t="s">
        <v>90</v>
      </c>
    </row>
    <row r="37" spans="1:2" x14ac:dyDescent="0.4">
      <c r="A37" t="s">
        <v>36</v>
      </c>
      <c r="B37" t="s">
        <v>91</v>
      </c>
    </row>
    <row r="38" spans="1:2" x14ac:dyDescent="0.4">
      <c r="A38" t="s">
        <v>37</v>
      </c>
      <c r="B38" t="s">
        <v>92</v>
      </c>
    </row>
    <row r="39" spans="1:2" x14ac:dyDescent="0.4">
      <c r="A39" t="s">
        <v>38</v>
      </c>
      <c r="B39" t="s">
        <v>93</v>
      </c>
    </row>
    <row r="40" spans="1:2" x14ac:dyDescent="0.4">
      <c r="A40" t="s">
        <v>39</v>
      </c>
      <c r="B40" t="s">
        <v>94</v>
      </c>
    </row>
    <row r="41" spans="1:2" x14ac:dyDescent="0.4">
      <c r="A41" t="s">
        <v>40</v>
      </c>
      <c r="B41" t="s">
        <v>95</v>
      </c>
    </row>
    <row r="42" spans="1:2" x14ac:dyDescent="0.4">
      <c r="A42" t="s">
        <v>41</v>
      </c>
      <c r="B42" t="s">
        <v>96</v>
      </c>
    </row>
    <row r="43" spans="1:2" x14ac:dyDescent="0.4">
      <c r="A43" t="s">
        <v>42</v>
      </c>
      <c r="B43" t="s">
        <v>97</v>
      </c>
    </row>
    <row r="44" spans="1:2" x14ac:dyDescent="0.4">
      <c r="A44" t="s">
        <v>45</v>
      </c>
      <c r="B44" t="s">
        <v>98</v>
      </c>
    </row>
    <row r="45" spans="1:2" x14ac:dyDescent="0.4">
      <c r="A45" t="s">
        <v>43</v>
      </c>
      <c r="B45" t="s">
        <v>99</v>
      </c>
    </row>
    <row r="46" spans="1:2" x14ac:dyDescent="0.4">
      <c r="A46" t="s">
        <v>44</v>
      </c>
      <c r="B46" t="s">
        <v>100</v>
      </c>
    </row>
    <row r="47" spans="1:2" x14ac:dyDescent="0.4">
      <c r="A47" t="s">
        <v>46</v>
      </c>
      <c r="B47" t="s">
        <v>101</v>
      </c>
    </row>
    <row r="48" spans="1:2" x14ac:dyDescent="0.4">
      <c r="A48" t="s">
        <v>47</v>
      </c>
      <c r="B48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75C1-4DA5-D54E-87CC-17A91FC5A775}">
  <dimension ref="A1:E49"/>
  <sheetViews>
    <sheetView workbookViewId="0">
      <selection activeCell="E1" sqref="E1"/>
    </sheetView>
  </sheetViews>
  <sheetFormatPr defaultColWidth="10.6640625" defaultRowHeight="16" x14ac:dyDescent="0.4"/>
  <sheetData>
    <row r="1" spans="1:5" ht="48" x14ac:dyDescent="0.4">
      <c r="A1" s="5" t="s">
        <v>48</v>
      </c>
      <c r="B1" s="6" t="s">
        <v>49</v>
      </c>
      <c r="C1" s="6" t="s">
        <v>50</v>
      </c>
      <c r="D1" s="6" t="s">
        <v>51</v>
      </c>
      <c r="E1" s="7" t="s">
        <v>52</v>
      </c>
    </row>
    <row r="2" spans="1:5" x14ac:dyDescent="0.4">
      <c r="A2" s="8" t="s">
        <v>34</v>
      </c>
      <c r="B2" s="9">
        <v>2.8928013902601908</v>
      </c>
      <c r="C2" s="9">
        <v>2.6921133834178042</v>
      </c>
      <c r="D2" s="9">
        <v>2.3259582036922208</v>
      </c>
      <c r="E2" s="10">
        <f>_xlfn.XLOOKUP(A2,'[1]Pivot_Needed Density'!$A:$A,'[1]Pivot_Needed Density'!$L:$L,,0)</f>
        <v>72.846700229357253</v>
      </c>
    </row>
    <row r="3" spans="1:5" ht="48" x14ac:dyDescent="0.4">
      <c r="A3" s="8" t="s">
        <v>9</v>
      </c>
      <c r="B3" s="9">
        <v>2.4154446026630016</v>
      </c>
      <c r="C3" s="9">
        <v>3.8745539552247603</v>
      </c>
      <c r="D3" s="9">
        <v>2.3872297370504003</v>
      </c>
      <c r="E3" s="10">
        <f>_xlfn.XLOOKUP(A3,'[1]Pivot_Needed Density'!$A:$A,'[1]Pivot_Needed Density'!$L:$L,,0)</f>
        <v>84.63560640092166</v>
      </c>
    </row>
    <row r="4" spans="1:5" x14ac:dyDescent="0.4">
      <c r="A4" s="8" t="s">
        <v>10</v>
      </c>
      <c r="B4" s="9">
        <v>3.5031261239275127</v>
      </c>
      <c r="C4" s="9">
        <v>4.1898949065668818</v>
      </c>
      <c r="D4" s="9">
        <v>3.2716188953202665</v>
      </c>
      <c r="E4" s="10">
        <f>_xlfn.XLOOKUP(A4,'[1]Pivot_Needed Density'!$A:$A,'[1]Pivot_Needed Density'!$L:$L,,0)</f>
        <v>80.318734301801214</v>
      </c>
    </row>
    <row r="5" spans="1:5" x14ac:dyDescent="0.4">
      <c r="A5" s="8" t="s">
        <v>22</v>
      </c>
      <c r="B5" s="9">
        <v>7.3565659589902861</v>
      </c>
      <c r="C5" s="9">
        <v>8.6404755702460996</v>
      </c>
      <c r="D5" s="9">
        <v>4.5119996321234597</v>
      </c>
      <c r="E5" s="10">
        <f>_xlfn.XLOOKUP(A5,'[1]Pivot_Needed Density'!$A:$A,'[1]Pivot_Needed Density'!$L:$L,,0)</f>
        <v>67.010250655056751</v>
      </c>
    </row>
    <row r="6" spans="1:5" x14ac:dyDescent="0.4">
      <c r="A6" s="8" t="s">
        <v>27</v>
      </c>
      <c r="B6" s="9">
        <v>4.392474018702714</v>
      </c>
      <c r="C6" s="9">
        <v>5.1343672169908219</v>
      </c>
      <c r="D6" s="9">
        <v>4.654914605753655</v>
      </c>
      <c r="E6" s="10">
        <f>_xlfn.XLOOKUP(A6,'[1]Pivot_Needed Density'!$A:$A,'[1]Pivot_Needed Density'!$L:$L,,0)</f>
        <v>64.077016590304851</v>
      </c>
    </row>
    <row r="7" spans="1:5" x14ac:dyDescent="0.4">
      <c r="A7" s="8" t="s">
        <v>28</v>
      </c>
      <c r="B7" s="9">
        <v>2.3669598366604272</v>
      </c>
      <c r="C7" s="9">
        <v>5.8346408238772032</v>
      </c>
      <c r="D7" s="9">
        <v>5.5434395125336904</v>
      </c>
      <c r="E7" s="10">
        <f>_xlfn.XLOOKUP(A7,'[1]Pivot_Needed Density'!$A:$A,'[1]Pivot_Needed Density'!$L:$L,,0)</f>
        <v>69.88970546184612</v>
      </c>
    </row>
    <row r="8" spans="1:5" x14ac:dyDescent="0.4">
      <c r="A8" s="8" t="s">
        <v>29</v>
      </c>
      <c r="B8" s="9">
        <v>4.8159164598162247</v>
      </c>
      <c r="C8" s="9">
        <v>5.6816648371565419</v>
      </c>
      <c r="D8" s="9">
        <v>5.598492636417566</v>
      </c>
      <c r="E8" s="10">
        <f>_xlfn.XLOOKUP(A8,'[1]Pivot_Needed Density'!$A:$A,'[1]Pivot_Needed Density'!$L:$L,,0)</f>
        <v>76.971103547685402</v>
      </c>
    </row>
    <row r="9" spans="1:5" x14ac:dyDescent="0.4">
      <c r="A9" s="8" t="s">
        <v>43</v>
      </c>
      <c r="B9" s="9">
        <v>3.5138186512143075</v>
      </c>
      <c r="C9" s="9">
        <v>4.7994955434409645</v>
      </c>
      <c r="D9" s="9">
        <v>5.9036930685343156</v>
      </c>
      <c r="E9" s="10">
        <f>_xlfn.XLOOKUP(A9,'[1]Pivot_Needed Density'!$A:$A,'[1]Pivot_Needed Density'!$L:$L,,0)</f>
        <v>79.452155941719241</v>
      </c>
    </row>
    <row r="10" spans="1:5" x14ac:dyDescent="0.4">
      <c r="A10" s="8" t="s">
        <v>38</v>
      </c>
      <c r="B10" s="9">
        <v>4.1395850727945103</v>
      </c>
      <c r="C10" s="9">
        <v>6.7255609647542727</v>
      </c>
      <c r="D10" s="9">
        <v>6.1089477585938159</v>
      </c>
      <c r="E10" s="10">
        <f>_xlfn.XLOOKUP(A10,'[1]Pivot_Needed Density'!$A:$A,'[1]Pivot_Needed Density'!$L:$L,,0)</f>
        <v>86.042703116953845</v>
      </c>
    </row>
    <row r="11" spans="1:5" ht="48" x14ac:dyDescent="0.4">
      <c r="A11" s="8" t="s">
        <v>45</v>
      </c>
      <c r="B11" s="9">
        <v>4.5237262498154065</v>
      </c>
      <c r="C11" s="9">
        <v>5.9949620284355545</v>
      </c>
      <c r="D11" s="9">
        <v>6.2037247448568733</v>
      </c>
      <c r="E11" s="10">
        <f>_xlfn.XLOOKUP(A11,'[1]Pivot_Needed Density'!$A:$A,'[1]Pivot_Needed Density'!$L:$L,,0)</f>
        <v>71.415843778879605</v>
      </c>
    </row>
    <row r="12" spans="1:5" x14ac:dyDescent="0.4">
      <c r="A12" s="8" t="s">
        <v>42</v>
      </c>
      <c r="B12" s="11">
        <v>5.6265652762618066</v>
      </c>
      <c r="C12" s="9">
        <v>5.6265652762618066</v>
      </c>
      <c r="D12" s="9">
        <v>7.3360946163777347</v>
      </c>
      <c r="E12" s="10">
        <f>_xlfn.XLOOKUP(A12,'[1]Pivot_Needed Density'!$A:$A,'[1]Pivot_Needed Density'!$L:$L,,0)</f>
        <v>73.180315547962564</v>
      </c>
    </row>
    <row r="13" spans="1:5" x14ac:dyDescent="0.4">
      <c r="A13" s="8" t="s">
        <v>20</v>
      </c>
      <c r="B13" s="9">
        <v>13.450237767542902</v>
      </c>
      <c r="C13" s="9">
        <v>8.6546958371362894</v>
      </c>
      <c r="D13" s="9">
        <v>7.6950371510478721</v>
      </c>
      <c r="E13" s="10">
        <f>_xlfn.XLOOKUP(A13,'[1]Pivot_Needed Density'!$A:$A,'[1]Pivot_Needed Density'!$L:$L,,0)</f>
        <v>67.342356648283143</v>
      </c>
    </row>
    <row r="14" spans="1:5" x14ac:dyDescent="0.4">
      <c r="A14" s="8" t="s">
        <v>8</v>
      </c>
      <c r="B14" s="9">
        <v>9.6718647797215791</v>
      </c>
      <c r="C14" s="9">
        <v>5.532615644537457</v>
      </c>
      <c r="D14" s="9">
        <v>7.8475241743670034</v>
      </c>
      <c r="E14" s="10">
        <f>_xlfn.XLOOKUP(A14,'[1]Pivot_Needed Density'!$A:$A,'[1]Pivot_Needed Density'!$L:$L,,0)</f>
        <v>72.855745748891366</v>
      </c>
    </row>
    <row r="15" spans="1:5" x14ac:dyDescent="0.4">
      <c r="A15" s="8" t="s">
        <v>3</v>
      </c>
      <c r="B15" s="9">
        <v>5.6486101756176499</v>
      </c>
      <c r="C15" s="9">
        <v>4.4997424142428724</v>
      </c>
      <c r="D15" s="9">
        <v>7.905420140578082</v>
      </c>
      <c r="E15" s="10">
        <f>_xlfn.XLOOKUP(A15,'[1]Pivot_Needed Density'!$A:$A,'[1]Pivot_Needed Density'!$L:$L,,0)</f>
        <v>72.368596860295639</v>
      </c>
    </row>
    <row r="16" spans="1:5" x14ac:dyDescent="0.4">
      <c r="A16" s="8" t="s">
        <v>6</v>
      </c>
      <c r="B16" s="9">
        <v>7.056451364601136</v>
      </c>
      <c r="C16" s="9">
        <v>9.0486143330486133</v>
      </c>
      <c r="D16" s="9">
        <v>8.1970005510432156</v>
      </c>
      <c r="E16" s="10">
        <f>_xlfn.XLOOKUP(A16,'[1]Pivot_Needed Density'!$A:$A,'[1]Pivot_Needed Density'!$L:$L,,0)</f>
        <v>69.181855196271343</v>
      </c>
    </row>
    <row r="17" spans="1:5" ht="32" x14ac:dyDescent="0.4">
      <c r="A17" s="8" t="s">
        <v>15</v>
      </c>
      <c r="B17" s="11">
        <v>4.340614403316974</v>
      </c>
      <c r="C17" s="9">
        <v>4.340614403316974</v>
      </c>
      <c r="D17" s="9">
        <v>10.007213798082931</v>
      </c>
      <c r="E17" s="10">
        <f>_xlfn.XLOOKUP(A17,'[1]Pivot_Needed Density'!$A:$A,'[1]Pivot_Needed Density'!$L:$L,,0)</f>
        <v>72.529137938691662</v>
      </c>
    </row>
    <row r="18" spans="1:5" ht="32" x14ac:dyDescent="0.4">
      <c r="A18" s="8" t="s">
        <v>32</v>
      </c>
      <c r="B18" s="9">
        <v>4.8111553223816639</v>
      </c>
      <c r="C18" s="9">
        <v>5.6576497894388762</v>
      </c>
      <c r="D18" s="9">
        <v>11.00137389024956</v>
      </c>
      <c r="E18" s="10">
        <f>_xlfn.XLOOKUP(A18,'[1]Pivot_Needed Density'!$A:$A,'[1]Pivot_Needed Density'!$L:$L,,0)</f>
        <v>70.027874369745504</v>
      </c>
    </row>
    <row r="19" spans="1:5" x14ac:dyDescent="0.4">
      <c r="A19" s="8" t="s">
        <v>13</v>
      </c>
      <c r="B19" s="9">
        <v>7.9535303053381696</v>
      </c>
      <c r="C19" s="9">
        <v>10.286738773730914</v>
      </c>
      <c r="D19" s="9">
        <v>11.710635712808926</v>
      </c>
      <c r="E19" s="10">
        <f>_xlfn.XLOOKUP(A19,'[1]Pivot_Needed Density'!$A:$A,'[1]Pivot_Needed Density'!$L:$L,,0)</f>
        <v>72.052390540340483</v>
      </c>
    </row>
    <row r="20" spans="1:5" ht="32" x14ac:dyDescent="0.4">
      <c r="A20" s="8" t="s">
        <v>5</v>
      </c>
      <c r="B20" s="9">
        <v>4.8706064429504705</v>
      </c>
      <c r="C20" s="9">
        <v>9.1101124651180712</v>
      </c>
      <c r="D20" s="9">
        <v>11.721918929906728</v>
      </c>
      <c r="E20" s="10">
        <f>_xlfn.XLOOKUP(A20,'[1]Pivot_Needed Density'!$A:$A,'[1]Pivot_Needed Density'!$L:$L,,0)</f>
        <v>77.584825865230016</v>
      </c>
    </row>
    <row r="21" spans="1:5" x14ac:dyDescent="0.4">
      <c r="A21" s="8" t="s">
        <v>26</v>
      </c>
      <c r="B21" s="9">
        <v>2.1999802363171792</v>
      </c>
      <c r="C21" s="9">
        <v>20.67333130036031</v>
      </c>
      <c r="D21" s="9">
        <v>12.006604382306818</v>
      </c>
      <c r="E21" s="10">
        <f>_xlfn.XLOOKUP(A21,'[1]Pivot_Needed Density'!$A:$A,'[1]Pivot_Needed Density'!$L:$L,,0)</f>
        <v>75.130915577938296</v>
      </c>
    </row>
    <row r="22" spans="1:5" ht="32" x14ac:dyDescent="0.4">
      <c r="A22" s="8" t="s">
        <v>23</v>
      </c>
      <c r="B22" s="9">
        <v>7.2684328251615034</v>
      </c>
      <c r="C22" s="9">
        <v>10.384661040040173</v>
      </c>
      <c r="D22" s="9">
        <v>12.380872332200335</v>
      </c>
      <c r="E22" s="10">
        <f>_xlfn.XLOOKUP(A22,'[1]Pivot_Needed Density'!$A:$A,'[1]Pivot_Needed Density'!$L:$L,,0)</f>
        <v>79.920142581229157</v>
      </c>
    </row>
    <row r="23" spans="1:5" x14ac:dyDescent="0.4">
      <c r="A23" s="8" t="s">
        <v>36</v>
      </c>
      <c r="B23" s="9">
        <v>10.22488301985268</v>
      </c>
      <c r="C23" s="9">
        <v>13.137769631395953</v>
      </c>
      <c r="D23" s="9">
        <v>12.440746230594545</v>
      </c>
      <c r="E23" s="10">
        <f>_xlfn.XLOOKUP(A23,'[1]Pivot_Needed Density'!$A:$A,'[1]Pivot_Needed Density'!$L:$L,,0)</f>
        <v>69.555144411921901</v>
      </c>
    </row>
    <row r="24" spans="1:5" x14ac:dyDescent="0.4">
      <c r="A24" s="8" t="s">
        <v>12</v>
      </c>
      <c r="B24" s="9">
        <v>9.4675580794092156</v>
      </c>
      <c r="C24" s="9">
        <v>12.302745309647277</v>
      </c>
      <c r="D24" s="9">
        <v>12.82557799981813</v>
      </c>
      <c r="E24" s="10">
        <f>_xlfn.XLOOKUP(A24,'[1]Pivot_Needed Density'!$A:$A,'[1]Pivot_Needed Density'!$L:$L,,0)</f>
        <v>75.052075703823334</v>
      </c>
    </row>
    <row r="25" spans="1:5" x14ac:dyDescent="0.4">
      <c r="A25" s="8" t="s">
        <v>1</v>
      </c>
      <c r="B25" s="9">
        <v>2.931267462129866</v>
      </c>
      <c r="C25" s="9">
        <v>33.34867189542053</v>
      </c>
      <c r="D25" s="9">
        <v>13.840368451121654</v>
      </c>
      <c r="E25" s="10">
        <f>_xlfn.XLOOKUP(A25,'[1]Pivot_Needed Density'!$A:$A,'[1]Pivot_Needed Density'!$L:$L,,0)</f>
        <v>95.82723244256394</v>
      </c>
    </row>
    <row r="26" spans="1:5" ht="48" x14ac:dyDescent="0.4">
      <c r="A26" s="8" t="s">
        <v>14</v>
      </c>
      <c r="B26" s="9">
        <v>9.2276042229827304</v>
      </c>
      <c r="C26" s="9">
        <v>15.957885045423646</v>
      </c>
      <c r="D26" s="9">
        <v>14.104125276326322</v>
      </c>
      <c r="E26" s="10">
        <f>_xlfn.XLOOKUP(A26,'[1]Pivot_Needed Density'!$A:$A,'[1]Pivot_Needed Density'!$L:$L,,0)</f>
        <v>75.141068443349695</v>
      </c>
    </row>
    <row r="27" spans="1:5" x14ac:dyDescent="0.4">
      <c r="A27" s="8" t="s">
        <v>16</v>
      </c>
      <c r="B27" s="9">
        <v>13.451172154071438</v>
      </c>
      <c r="C27" s="9">
        <v>15.371333363034998</v>
      </c>
      <c r="D27" s="9">
        <v>14.584070867806926</v>
      </c>
      <c r="E27" s="10">
        <f>_xlfn.XLOOKUP(A27,'[1]Pivot_Needed Density'!$A:$A,'[1]Pivot_Needed Density'!$L:$L,,0)</f>
        <v>69.805639428938377</v>
      </c>
    </row>
    <row r="28" spans="1:5" x14ac:dyDescent="0.4">
      <c r="A28" s="8" t="s">
        <v>18</v>
      </c>
      <c r="B28" s="9">
        <v>0.71329713375271953</v>
      </c>
      <c r="C28" s="9">
        <v>8.0263161233659783</v>
      </c>
      <c r="D28" s="9">
        <v>15.362628950222769</v>
      </c>
      <c r="E28" s="10">
        <f>_xlfn.XLOOKUP(A28,'[1]Pivot_Needed Density'!$A:$A,'[1]Pivot_Needed Density'!$L:$L,,0)</f>
        <v>85.231567401205396</v>
      </c>
    </row>
    <row r="29" spans="1:5" x14ac:dyDescent="0.4">
      <c r="A29" s="8" t="s">
        <v>30</v>
      </c>
      <c r="B29" s="9">
        <v>12.920259078445696</v>
      </c>
      <c r="C29" s="9">
        <v>15.32999829185372</v>
      </c>
      <c r="D29" s="9">
        <v>19.247819150386611</v>
      </c>
      <c r="E29" s="10">
        <f>_xlfn.XLOOKUP(A29,'[1]Pivot_Needed Density'!$A:$A,'[1]Pivot_Needed Density'!$L:$L,,0)</f>
        <v>81.699246693536736</v>
      </c>
    </row>
    <row r="30" spans="1:5" x14ac:dyDescent="0.4">
      <c r="A30" s="8" t="s">
        <v>25</v>
      </c>
      <c r="B30" s="11">
        <v>48.420917581620166</v>
      </c>
      <c r="C30" s="9">
        <v>48.420917581620166</v>
      </c>
      <c r="D30" s="9">
        <v>19.737356151637169</v>
      </c>
      <c r="E30" s="10">
        <f>_xlfn.XLOOKUP(A30,'[1]Pivot_Needed Density'!$A:$A,'[1]Pivot_Needed Density'!$L:$L,,0)</f>
        <v>77.88290339735488</v>
      </c>
    </row>
    <row r="31" spans="1:5" x14ac:dyDescent="0.4">
      <c r="A31" s="8" t="s">
        <v>11</v>
      </c>
      <c r="B31" s="9">
        <v>5.9766154198107611</v>
      </c>
      <c r="C31" s="9">
        <v>18.729546761714165</v>
      </c>
      <c r="D31" s="9">
        <v>20.614550700647719</v>
      </c>
      <c r="E31" s="10">
        <f>_xlfn.XLOOKUP(A31,'[1]Pivot_Needed Density'!$A:$A,'[1]Pivot_Needed Density'!$L:$L,,0)</f>
        <v>77.236458029323757</v>
      </c>
    </row>
    <row r="32" spans="1:5" x14ac:dyDescent="0.4">
      <c r="A32" s="8" t="s">
        <v>35</v>
      </c>
      <c r="B32" s="9">
        <v>13.847614492517479</v>
      </c>
      <c r="C32" s="9">
        <v>19.430950036054032</v>
      </c>
      <c r="D32" s="9">
        <v>20.758052766628865</v>
      </c>
      <c r="E32" s="10">
        <f>_xlfn.XLOOKUP(A32,'[1]Pivot_Needed Density'!$A:$A,'[1]Pivot_Needed Density'!$L:$L,,0)</f>
        <v>70.585970538970415</v>
      </c>
    </row>
    <row r="33" spans="1:5" x14ac:dyDescent="0.4">
      <c r="A33" s="8" t="s">
        <v>2</v>
      </c>
      <c r="B33" s="9">
        <v>1.147359073900709E-2</v>
      </c>
      <c r="C33" s="9">
        <v>17.303129774304679</v>
      </c>
      <c r="D33" s="9">
        <v>21.198405889563727</v>
      </c>
      <c r="E33" s="10">
        <f>_xlfn.XLOOKUP(A33,'[1]Pivot_Needed Density'!$A:$A,'[1]Pivot_Needed Density'!$L:$L,,0)</f>
        <v>71.788443210779832</v>
      </c>
    </row>
    <row r="34" spans="1:5" x14ac:dyDescent="0.4">
      <c r="A34" s="8" t="s">
        <v>40</v>
      </c>
      <c r="B34" s="9">
        <v>11.906918137676454</v>
      </c>
      <c r="C34" s="9">
        <v>8.5405928117822008</v>
      </c>
      <c r="D34" s="9">
        <v>22.128310502389212</v>
      </c>
      <c r="E34" s="10">
        <f>_xlfn.XLOOKUP(A34,'[1]Pivot_Needed Density'!$A:$A,'[1]Pivot_Needed Density'!$L:$L,,0)</f>
        <v>69.781714218160218</v>
      </c>
    </row>
    <row r="35" spans="1:5" x14ac:dyDescent="0.4">
      <c r="A35" s="8" t="s">
        <v>24</v>
      </c>
      <c r="B35" s="9">
        <v>10.933559038450477</v>
      </c>
      <c r="C35" s="9">
        <v>13.601302528457378</v>
      </c>
      <c r="D35" s="9">
        <v>22.68993188596761</v>
      </c>
      <c r="E35" s="10">
        <f>_xlfn.XLOOKUP(A35,'[1]Pivot_Needed Density'!$A:$A,'[1]Pivot_Needed Density'!$L:$L,,0)</f>
        <v>69.787055687601622</v>
      </c>
    </row>
    <row r="36" spans="1:5" x14ac:dyDescent="0.4">
      <c r="A36" s="8" t="s">
        <v>44</v>
      </c>
      <c r="B36" s="9">
        <v>14.322054728228531</v>
      </c>
      <c r="C36" s="9">
        <v>18.626825060920165</v>
      </c>
      <c r="D36" s="9">
        <v>24.594032165143432</v>
      </c>
      <c r="E36" s="10">
        <f>_xlfn.XLOOKUP(A36,'[1]Pivot_Needed Density'!$A:$A,'[1]Pivot_Needed Density'!$L:$L,,0)</f>
        <v>69.141526775618615</v>
      </c>
    </row>
    <row r="37" spans="1:5" ht="32" x14ac:dyDescent="0.4">
      <c r="A37" s="8" t="s">
        <v>37</v>
      </c>
      <c r="B37" s="9">
        <v>27.663516672946013</v>
      </c>
      <c r="C37" s="9">
        <v>24.415171473995006</v>
      </c>
      <c r="D37" s="9">
        <v>25.080738156916041</v>
      </c>
      <c r="E37" s="10">
        <f>_xlfn.XLOOKUP(A37,'[1]Pivot_Needed Density'!$A:$A,'[1]Pivot_Needed Density'!$L:$L,,0)</f>
        <v>80.496792921871275</v>
      </c>
    </row>
    <row r="38" spans="1:5" x14ac:dyDescent="0.4">
      <c r="A38" s="8" t="s">
        <v>19</v>
      </c>
      <c r="B38" s="9">
        <v>2.2973079178531046</v>
      </c>
      <c r="C38" s="9">
        <v>37.344694587596827</v>
      </c>
      <c r="D38" s="9">
        <v>29.037302117617038</v>
      </c>
      <c r="E38" s="10">
        <f>_xlfn.XLOOKUP(A38,'[1]Pivot_Needed Density'!$A:$A,'[1]Pivot_Needed Density'!$L:$L,,0)</f>
        <v>80.846625621930613</v>
      </c>
    </row>
    <row r="39" spans="1:5" x14ac:dyDescent="0.4">
      <c r="A39" s="8" t="s">
        <v>46</v>
      </c>
      <c r="B39" s="9">
        <v>1.8201538354901259</v>
      </c>
      <c r="C39" s="9">
        <v>15.810254075868267</v>
      </c>
      <c r="D39" s="9">
        <v>32.824990914279496</v>
      </c>
      <c r="E39" s="10">
        <f>_xlfn.XLOOKUP(A39,'[1]Pivot_Needed Density'!$A:$A,'[1]Pivot_Needed Density'!$L:$L,,0)</f>
        <v>72.49262157053488</v>
      </c>
    </row>
    <row r="40" spans="1:5" x14ac:dyDescent="0.4">
      <c r="A40" s="8" t="s">
        <v>4</v>
      </c>
      <c r="B40" s="9">
        <v>36.693639678921613</v>
      </c>
      <c r="C40" s="9">
        <v>34.95949369515526</v>
      </c>
      <c r="D40" s="9">
        <v>34.292718386067548</v>
      </c>
      <c r="E40" s="10">
        <f>_xlfn.XLOOKUP(A40,'[1]Pivot_Needed Density'!$A:$A,'[1]Pivot_Needed Density'!$L:$L,,0)</f>
        <v>85.101743969426565</v>
      </c>
    </row>
    <row r="41" spans="1:5" x14ac:dyDescent="0.4">
      <c r="A41" s="8" t="s">
        <v>47</v>
      </c>
      <c r="B41" s="9">
        <v>14.633259467438904</v>
      </c>
      <c r="C41" s="9">
        <v>21.095941957658759</v>
      </c>
      <c r="D41" s="9">
        <v>36.315960905902422</v>
      </c>
      <c r="E41" s="10">
        <f>_xlfn.XLOOKUP(A41,'[1]Pivot_Needed Density'!$A:$A,'[1]Pivot_Needed Density'!$L:$L,,0)</f>
        <v>72.825513135087078</v>
      </c>
    </row>
    <row r="42" spans="1:5" x14ac:dyDescent="0.4">
      <c r="A42" s="8" t="s">
        <v>21</v>
      </c>
      <c r="B42" s="9">
        <v>18.681157033578607</v>
      </c>
      <c r="C42" s="9">
        <v>45.368349257282169</v>
      </c>
      <c r="D42" s="9">
        <v>45.648484922289214</v>
      </c>
      <c r="E42" s="10">
        <f>_xlfn.XLOOKUP(A42,'[1]Pivot_Needed Density'!$A:$A,'[1]Pivot_Needed Density'!$L:$L,,0)</f>
        <v>72.943583580944676</v>
      </c>
    </row>
    <row r="43" spans="1:5" x14ac:dyDescent="0.4">
      <c r="A43" s="8" t="s">
        <v>17</v>
      </c>
      <c r="B43" s="9">
        <v>33.398341618089297</v>
      </c>
      <c r="C43" s="9">
        <v>43.070333993291264</v>
      </c>
      <c r="D43" s="9">
        <v>49.456152913797936</v>
      </c>
      <c r="E43" s="10">
        <f>_xlfn.XLOOKUP(A43,'[1]Pivot_Needed Density'!$A:$A,'[1]Pivot_Needed Density'!$L:$L,,0)</f>
        <v>77.705212596172885</v>
      </c>
    </row>
    <row r="44" spans="1:5" x14ac:dyDescent="0.4">
      <c r="A44" s="8" t="s">
        <v>31</v>
      </c>
      <c r="B44" s="9">
        <v>46.556438932153817</v>
      </c>
      <c r="C44" s="9">
        <v>61.356442098331627</v>
      </c>
      <c r="D44" s="9">
        <v>53.864572698360959</v>
      </c>
      <c r="E44" s="10">
        <f>_xlfn.XLOOKUP(A44,'[1]Pivot_Needed Density'!$A:$A,'[1]Pivot_Needed Density'!$L:$L,,0)</f>
        <v>132.03916987380953</v>
      </c>
    </row>
    <row r="45" spans="1:5" x14ac:dyDescent="0.4">
      <c r="A45" s="8" t="s">
        <v>7</v>
      </c>
      <c r="B45" s="9">
        <v>13.168129792199135</v>
      </c>
      <c r="C45" s="9">
        <v>21.83117516323049</v>
      </c>
      <c r="D45" s="9">
        <v>60.895271765381224</v>
      </c>
      <c r="E45" s="10">
        <f>_xlfn.XLOOKUP(A45,'[1]Pivot_Needed Density'!$A:$A,'[1]Pivot_Needed Density'!$L:$L,,0)</f>
        <v>84.408196600516646</v>
      </c>
    </row>
    <row r="46" spans="1:5" x14ac:dyDescent="0.4">
      <c r="A46" s="8" t="s">
        <v>33</v>
      </c>
      <c r="B46" s="9">
        <v>18.643598804269427</v>
      </c>
      <c r="C46" s="9">
        <v>59.883263799993379</v>
      </c>
      <c r="D46" s="9">
        <v>66.896135970779099</v>
      </c>
      <c r="E46" s="10">
        <f>_xlfn.XLOOKUP(A46,'[1]Pivot_Needed Density'!$A:$A,'[1]Pivot_Needed Density'!$L:$L,,0)</f>
        <v>79.353127416732889</v>
      </c>
    </row>
    <row r="47" spans="1:5" x14ac:dyDescent="0.4">
      <c r="A47" s="8" t="s">
        <v>41</v>
      </c>
      <c r="B47" s="9">
        <v>10.899955183999531</v>
      </c>
      <c r="C47" s="9">
        <v>57.71941171233474</v>
      </c>
      <c r="D47" s="9">
        <v>74.345193320567816</v>
      </c>
      <c r="E47" s="10">
        <f>_xlfn.XLOOKUP(A47,'[1]Pivot_Needed Density'!$A:$A,'[1]Pivot_Needed Density'!$L:$L,,0)</f>
        <v>93.826703027893103</v>
      </c>
    </row>
    <row r="48" spans="1:5" ht="16.5" thickBot="1" x14ac:dyDescent="0.45">
      <c r="A48" s="12" t="s">
        <v>39</v>
      </c>
      <c r="B48" s="13">
        <v>52.939595094815644</v>
      </c>
      <c r="C48" s="13">
        <v>161.97709042589298</v>
      </c>
      <c r="D48" s="13">
        <v>213.24893351885854</v>
      </c>
      <c r="E48" s="10">
        <f>_xlfn.XLOOKUP(A48,'[1]Pivot_Needed Density'!$A:$A,'[1]Pivot_Needed Density'!$L:$L,,0)</f>
        <v>109.25384535958335</v>
      </c>
    </row>
    <row r="49" ht="16.5" thickTop="1" x14ac:dyDescent="0.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Needs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Avoka Asamani</dc:creator>
  <cp:lastModifiedBy>Joseph Mung'atu</cp:lastModifiedBy>
  <dcterms:created xsi:type="dcterms:W3CDTF">2024-03-08T17:01:47Z</dcterms:created>
  <dcterms:modified xsi:type="dcterms:W3CDTF">2024-03-10T18:21:28Z</dcterms:modified>
</cp:coreProperties>
</file>