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425"/>
  <workbookPr/>
  <mc:AlternateContent xmlns:mc="http://schemas.openxmlformats.org/markup-compatibility/2006">
    <mc:Choice Requires="x15">
      <x15ac:absPath xmlns:x15ac="http://schemas.microsoft.com/office/spreadsheetml/2010/11/ac" url="H:\Brazzaville\HRH 24\Analytics\March\"/>
    </mc:Choice>
  </mc:AlternateContent>
  <xr:revisionPtr revIDLastSave="0" documentId="8_{3D8AA3F6-E991-4B0C-88F6-87622B0D52F6}" xr6:coauthVersionLast="47" xr6:coauthVersionMax="47" xr10:uidLastSave="{00000000-0000-0000-0000-000000000000}"/>
  <bookViews>
    <workbookView xWindow="-110" yWindow="-110" windowWidth="19420" windowHeight="10300" xr2:uid="{163E80C4-03B4-A24C-842B-BB83FB2082B4}"/>
  </bookViews>
  <sheets>
    <sheet name="HRH Policy and Planning" sheetId="1" r:id="rId1"/>
    <sheet name="Working Conditions" sheetId="5" r:id="rId2"/>
    <sheet name="Existence of HRH Unit" sheetId="3" r:id="rId3"/>
    <sheet name="Governace capacity" sheetId="4" r:id="rId4"/>
    <sheet name="Strikes" sheetId="6" r:id="rId5"/>
    <sheet name="Summary Table_Pulled Together" sheetId="2" r:id="rId6"/>
    <sheet name="Graphs" sheetId="7" r:id="rId7"/>
  </sheets>
  <definedNames>
    <definedName name="_xlnm._FilterDatabase" localSheetId="2" hidden="1">'Existence of HRH Unit'!$A$1:$D$117</definedName>
    <definedName name="_xlnm._FilterDatabase" localSheetId="3" hidden="1">'Governace capacity'!$A$1:$C$533</definedName>
    <definedName name="_xlnm._FilterDatabase" localSheetId="0" hidden="1">'HRH Policy and Planning'!$A$1:$C$314</definedName>
    <definedName name="_xlnm._FilterDatabase" localSheetId="4" hidden="1">Strikes!$A$1:$C$147</definedName>
    <definedName name="_xlnm._FilterDatabase" localSheetId="1" hidden="1">'Working Conditions'!$B$3:$E$117</definedName>
    <definedName name="Country">#REF!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9" i="6" l="1"/>
  <c r="I200" i="7"/>
  <c r="I199" i="7"/>
  <c r="I198" i="7"/>
  <c r="H191" i="7"/>
  <c r="I189" i="7" s="1"/>
  <c r="I9" i="6"/>
  <c r="H11" i="6"/>
  <c r="H10" i="6"/>
  <c r="G31" i="7"/>
  <c r="F31" i="7"/>
  <c r="E31" i="7"/>
  <c r="D31" i="7"/>
  <c r="H5" i="6"/>
  <c r="H6" i="6"/>
  <c r="H7" i="6"/>
  <c r="H4" i="6"/>
  <c r="D31" i="2"/>
  <c r="E31" i="2"/>
  <c r="F31" i="2"/>
  <c r="G31" i="2"/>
  <c r="G4" i="4"/>
  <c r="C7" i="2" s="1"/>
  <c r="H4" i="4"/>
  <c r="D7" i="2" s="1"/>
  <c r="G5" i="4"/>
  <c r="C8" i="2" s="1"/>
  <c r="H5" i="4"/>
  <c r="D8" i="2" s="1"/>
  <c r="G6" i="4"/>
  <c r="C9" i="7" s="1"/>
  <c r="H6" i="4"/>
  <c r="D9" i="2" s="1"/>
  <c r="G7" i="4"/>
  <c r="C10" i="2" s="1"/>
  <c r="H7" i="4"/>
  <c r="D10" i="2" s="1"/>
  <c r="G8" i="4"/>
  <c r="C11" i="7" s="1"/>
  <c r="H8" i="4"/>
  <c r="D11" i="2" s="1"/>
  <c r="G9" i="4"/>
  <c r="C12" i="2" s="1"/>
  <c r="H9" i="4"/>
  <c r="D12" i="2" s="1"/>
  <c r="G10" i="4"/>
  <c r="C13" i="2" s="1"/>
  <c r="H10" i="4"/>
  <c r="D13" i="2" s="1"/>
  <c r="G11" i="4"/>
  <c r="C14" i="2" s="1"/>
  <c r="H11" i="4"/>
  <c r="D14" i="2" s="1"/>
  <c r="G12" i="4"/>
  <c r="C15" i="2" s="1"/>
  <c r="H12" i="4"/>
  <c r="D15" i="7" s="1"/>
  <c r="G13" i="4"/>
  <c r="C16" i="2" s="1"/>
  <c r="H13" i="4"/>
  <c r="D16" i="2" s="1"/>
  <c r="G14" i="4"/>
  <c r="C17" i="2" s="1"/>
  <c r="H14" i="4"/>
  <c r="D17" i="2" s="1"/>
  <c r="H3" i="4"/>
  <c r="G3" i="4"/>
  <c r="H4" i="3"/>
  <c r="C20" i="2" s="1"/>
  <c r="I4" i="3"/>
  <c r="D20" i="7" s="1"/>
  <c r="H5" i="3"/>
  <c r="C21" i="7" s="1"/>
  <c r="I5" i="3"/>
  <c r="D21" i="7" s="1"/>
  <c r="H6" i="3"/>
  <c r="L6" i="3" s="1"/>
  <c r="G22" i="7" s="1"/>
  <c r="I6" i="3"/>
  <c r="D22" i="7" s="1"/>
  <c r="I3" i="3"/>
  <c r="D19" i="2" s="1"/>
  <c r="H3" i="3"/>
  <c r="C19" i="7" s="1"/>
  <c r="N5" i="1"/>
  <c r="M5" i="1"/>
  <c r="H5" i="1"/>
  <c r="C31" i="7" s="1"/>
  <c r="H4" i="1"/>
  <c r="C30" i="2" s="1"/>
  <c r="I4" i="1"/>
  <c r="D30" i="7" s="1"/>
  <c r="H6" i="1"/>
  <c r="I6" i="1"/>
  <c r="D32" i="7" s="1"/>
  <c r="H7" i="1"/>
  <c r="C33" i="7" s="1"/>
  <c r="I7" i="1"/>
  <c r="D33" i="7" s="1"/>
  <c r="H8" i="1"/>
  <c r="C34" i="2" s="1"/>
  <c r="I8" i="1"/>
  <c r="D34" i="2" s="1"/>
  <c r="H10" i="1"/>
  <c r="I10" i="1"/>
  <c r="D36" i="2" s="1"/>
  <c r="H11" i="1"/>
  <c r="I11" i="1"/>
  <c r="D37" i="2" s="1"/>
  <c r="H12" i="1"/>
  <c r="I12" i="1"/>
  <c r="D38" i="7" s="1"/>
  <c r="H13" i="1"/>
  <c r="I13" i="1"/>
  <c r="D39" i="7" s="1"/>
  <c r="H14" i="1"/>
  <c r="I14" i="1"/>
  <c r="D40" i="7" s="1"/>
  <c r="H15" i="1"/>
  <c r="C41" i="7" s="1"/>
  <c r="I15" i="1"/>
  <c r="D41" i="2" s="1"/>
  <c r="I3" i="1"/>
  <c r="D29" i="2" s="1"/>
  <c r="H3" i="1"/>
  <c r="C29" i="2" s="1"/>
  <c r="K5" i="5"/>
  <c r="C25" i="2" s="1"/>
  <c r="L5" i="5"/>
  <c r="D25" i="7" s="1"/>
  <c r="K6" i="5"/>
  <c r="C26" i="7" s="1"/>
  <c r="L6" i="5"/>
  <c r="D26" i="7" s="1"/>
  <c r="K7" i="5"/>
  <c r="C27" i="2" s="1"/>
  <c r="L7" i="5"/>
  <c r="D27" i="2" s="1"/>
  <c r="L4" i="5"/>
  <c r="D24" i="2" s="1"/>
  <c r="K4" i="5"/>
  <c r="C24" i="2" s="1"/>
  <c r="D22" i="2" l="1"/>
  <c r="C19" i="2"/>
  <c r="D9" i="7"/>
  <c r="C14" i="7"/>
  <c r="D17" i="7"/>
  <c r="C24" i="7"/>
  <c r="D27" i="7"/>
  <c r="C22" i="2"/>
  <c r="D26" i="2"/>
  <c r="D14" i="7"/>
  <c r="C20" i="7"/>
  <c r="D24" i="7"/>
  <c r="I188" i="7"/>
  <c r="D20" i="2"/>
  <c r="C26" i="2"/>
  <c r="C8" i="7"/>
  <c r="D11" i="7"/>
  <c r="C16" i="7"/>
  <c r="I190" i="7"/>
  <c r="D8" i="7"/>
  <c r="C13" i="7"/>
  <c r="D16" i="7"/>
  <c r="C22" i="7"/>
  <c r="D57" i="7"/>
  <c r="C10" i="7"/>
  <c r="D13" i="7"/>
  <c r="C57" i="7"/>
  <c r="G22" i="2"/>
  <c r="D21" i="2"/>
  <c r="C7" i="7"/>
  <c r="C5" i="7" s="1"/>
  <c r="D10" i="7"/>
  <c r="C15" i="7"/>
  <c r="D19" i="7"/>
  <c r="C25" i="7"/>
  <c r="C21" i="2"/>
  <c r="D25" i="2"/>
  <c r="D7" i="7"/>
  <c r="C12" i="7"/>
  <c r="O7" i="5"/>
  <c r="K6" i="3"/>
  <c r="D12" i="7"/>
  <c r="C17" i="7"/>
  <c r="C27" i="7"/>
  <c r="L11" i="1"/>
  <c r="J11" i="1" s="1"/>
  <c r="E37" i="2" s="1"/>
  <c r="L14" i="1"/>
  <c r="J14" i="1" s="1"/>
  <c r="E40" i="7" s="1"/>
  <c r="L10" i="1"/>
  <c r="J10" i="1" s="1"/>
  <c r="E36" i="2" s="1"/>
  <c r="L13" i="1"/>
  <c r="K13" i="1" s="1"/>
  <c r="L6" i="1"/>
  <c r="C36" i="2"/>
  <c r="D30" i="2"/>
  <c r="C29" i="7"/>
  <c r="D37" i="7"/>
  <c r="D38" i="2"/>
  <c r="D29" i="7"/>
  <c r="C34" i="7"/>
  <c r="E37" i="7"/>
  <c r="L12" i="1"/>
  <c r="L4" i="1"/>
  <c r="K4" i="1" s="1"/>
  <c r="C38" i="2"/>
  <c r="D32" i="2"/>
  <c r="D34" i="7"/>
  <c r="C40" i="7"/>
  <c r="L3" i="1"/>
  <c r="J3" i="1" s="1"/>
  <c r="D40" i="2"/>
  <c r="C32" i="2"/>
  <c r="C32" i="7"/>
  <c r="G37" i="7"/>
  <c r="C40" i="2"/>
  <c r="C38" i="7"/>
  <c r="C30" i="7"/>
  <c r="C36" i="7"/>
  <c r="C37" i="2"/>
  <c r="D36" i="7"/>
  <c r="L15" i="1"/>
  <c r="L8" i="1"/>
  <c r="D39" i="2"/>
  <c r="C31" i="2"/>
  <c r="D41" i="7"/>
  <c r="C39" i="2"/>
  <c r="D33" i="2"/>
  <c r="C39" i="7"/>
  <c r="L7" i="1"/>
  <c r="C33" i="2"/>
  <c r="C41" i="2"/>
  <c r="C37" i="7"/>
  <c r="D5" i="7"/>
  <c r="K12" i="4"/>
  <c r="K8" i="4"/>
  <c r="K6" i="4"/>
  <c r="D5" i="2"/>
  <c r="C9" i="2"/>
  <c r="C11" i="2"/>
  <c r="K11" i="4"/>
  <c r="D15" i="2"/>
  <c r="I12" i="4"/>
  <c r="J12" i="4"/>
  <c r="K13" i="4"/>
  <c r="G16" i="7" s="1"/>
  <c r="K5" i="4"/>
  <c r="K10" i="4"/>
  <c r="I8" i="4"/>
  <c r="K7" i="4"/>
  <c r="G10" i="7" s="1"/>
  <c r="K14" i="4"/>
  <c r="K9" i="4"/>
  <c r="G12" i="7" s="1"/>
  <c r="K4" i="4"/>
  <c r="G7" i="7" s="1"/>
  <c r="K3" i="4"/>
  <c r="I3" i="4" s="1"/>
  <c r="J6" i="3"/>
  <c r="L5" i="3"/>
  <c r="L4" i="3"/>
  <c r="L3" i="3"/>
  <c r="J6" i="1"/>
  <c r="O4" i="5"/>
  <c r="N7" i="5"/>
  <c r="M7" i="5"/>
  <c r="O6" i="5"/>
  <c r="O5" i="5"/>
  <c r="F22" i="7" l="1"/>
  <c r="F22" i="2"/>
  <c r="G27" i="7"/>
  <c r="G27" i="2"/>
  <c r="G13" i="2"/>
  <c r="G13" i="7"/>
  <c r="E22" i="2"/>
  <c r="E22" i="7"/>
  <c r="G8" i="2"/>
  <c r="G8" i="7"/>
  <c r="G9" i="2"/>
  <c r="G9" i="7"/>
  <c r="K3" i="3"/>
  <c r="G19" i="2"/>
  <c r="G19" i="7"/>
  <c r="K4" i="3"/>
  <c r="G20" i="2"/>
  <c r="G20" i="7"/>
  <c r="G14" i="2"/>
  <c r="G14" i="7"/>
  <c r="M5" i="5"/>
  <c r="G25" i="2"/>
  <c r="G25" i="7"/>
  <c r="K5" i="3"/>
  <c r="G21" i="7"/>
  <c r="G21" i="2"/>
  <c r="F15" i="2"/>
  <c r="F15" i="7"/>
  <c r="J8" i="4"/>
  <c r="G11" i="7"/>
  <c r="E11" i="2"/>
  <c r="E11" i="7"/>
  <c r="M6" i="5"/>
  <c r="G26" i="7"/>
  <c r="G26" i="2"/>
  <c r="E27" i="2"/>
  <c r="E27" i="7"/>
  <c r="F27" i="7"/>
  <c r="F27" i="2"/>
  <c r="N4" i="5"/>
  <c r="G24" i="7"/>
  <c r="G24" i="2"/>
  <c r="E15" i="2"/>
  <c r="E15" i="7"/>
  <c r="G17" i="7"/>
  <c r="G57" i="7"/>
  <c r="J11" i="4"/>
  <c r="G15" i="2"/>
  <c r="G15" i="7"/>
  <c r="K11" i="1"/>
  <c r="G37" i="2"/>
  <c r="G36" i="7"/>
  <c r="K10" i="1"/>
  <c r="F36" i="2" s="1"/>
  <c r="G40" i="7"/>
  <c r="K14" i="1"/>
  <c r="F40" i="2" s="1"/>
  <c r="G40" i="2"/>
  <c r="E40" i="2"/>
  <c r="E36" i="7"/>
  <c r="G36" i="2"/>
  <c r="E29" i="2"/>
  <c r="E29" i="7"/>
  <c r="J12" i="1"/>
  <c r="G38" i="2"/>
  <c r="G38" i="7"/>
  <c r="K12" i="1"/>
  <c r="K7" i="1"/>
  <c r="G33" i="2"/>
  <c r="G33" i="7"/>
  <c r="F36" i="7"/>
  <c r="F30" i="2"/>
  <c r="F30" i="7"/>
  <c r="J8" i="1"/>
  <c r="G34" i="7"/>
  <c r="G34" i="2"/>
  <c r="K8" i="1"/>
  <c r="J15" i="1"/>
  <c r="G41" i="7"/>
  <c r="G41" i="2"/>
  <c r="F37" i="2"/>
  <c r="F37" i="7"/>
  <c r="J7" i="1"/>
  <c r="K6" i="1"/>
  <c r="G32" i="2"/>
  <c r="G32" i="7"/>
  <c r="F39" i="2"/>
  <c r="F39" i="7"/>
  <c r="K3" i="1"/>
  <c r="G29" i="7"/>
  <c r="G29" i="2"/>
  <c r="K15" i="1"/>
  <c r="E32" i="7"/>
  <c r="E32" i="2"/>
  <c r="J4" i="1"/>
  <c r="G30" i="7"/>
  <c r="G30" i="2"/>
  <c r="J13" i="1"/>
  <c r="G39" i="2"/>
  <c r="G39" i="7"/>
  <c r="G11" i="2"/>
  <c r="J3" i="4"/>
  <c r="J6" i="4"/>
  <c r="I6" i="4"/>
  <c r="J5" i="4"/>
  <c r="C5" i="2"/>
  <c r="J4" i="4"/>
  <c r="G7" i="2"/>
  <c r="I9" i="4"/>
  <c r="G12" i="2"/>
  <c r="I14" i="4"/>
  <c r="G17" i="2"/>
  <c r="I10" i="4"/>
  <c r="J7" i="4"/>
  <c r="G10" i="2"/>
  <c r="I5" i="4"/>
  <c r="I11" i="4"/>
  <c r="J13" i="4"/>
  <c r="G16" i="2"/>
  <c r="J10" i="4"/>
  <c r="I13" i="4"/>
  <c r="I7" i="4"/>
  <c r="J14" i="4"/>
  <c r="I4" i="4"/>
  <c r="J9" i="4"/>
  <c r="J4" i="3"/>
  <c r="J5" i="3"/>
  <c r="J3" i="3"/>
  <c r="M4" i="5"/>
  <c r="N5" i="5"/>
  <c r="N6" i="5"/>
  <c r="F14" i="2" l="1"/>
  <c r="F14" i="7"/>
  <c r="F21" i="2"/>
  <c r="F21" i="7"/>
  <c r="F13" i="2"/>
  <c r="F13" i="7"/>
  <c r="E9" i="2"/>
  <c r="E9" i="7"/>
  <c r="E21" i="2"/>
  <c r="E21" i="7"/>
  <c r="E17" i="2"/>
  <c r="E57" i="7"/>
  <c r="E17" i="7"/>
  <c r="F9" i="2"/>
  <c r="F9" i="7"/>
  <c r="E16" i="2"/>
  <c r="E16" i="7"/>
  <c r="E20" i="7"/>
  <c r="E20" i="2"/>
  <c r="F16" i="2"/>
  <c r="F16" i="7"/>
  <c r="F11" i="2"/>
  <c r="F11" i="7"/>
  <c r="E25" i="7"/>
  <c r="E25" i="2"/>
  <c r="F19" i="7"/>
  <c r="F19" i="2"/>
  <c r="F24" i="7"/>
  <c r="F24" i="2"/>
  <c r="F20" i="7"/>
  <c r="F20" i="2"/>
  <c r="E12" i="2"/>
  <c r="E12" i="7"/>
  <c r="E24" i="7"/>
  <c r="E24" i="2"/>
  <c r="F8" i="2"/>
  <c r="F8" i="7"/>
  <c r="E19" i="7"/>
  <c r="E19" i="2"/>
  <c r="F12" i="2"/>
  <c r="F12" i="7"/>
  <c r="E14" i="2"/>
  <c r="E14" i="7"/>
  <c r="E7" i="2"/>
  <c r="E7" i="7"/>
  <c r="E8" i="2"/>
  <c r="E5" i="2" s="1"/>
  <c r="F5" i="2" s="1"/>
  <c r="E8" i="7"/>
  <c r="F25" i="2"/>
  <c r="F25" i="7"/>
  <c r="E10" i="2"/>
  <c r="E10" i="7"/>
  <c r="E13" i="2"/>
  <c r="E13" i="7"/>
  <c r="F26" i="2"/>
  <c r="F26" i="7"/>
  <c r="F17" i="2"/>
  <c r="F17" i="7"/>
  <c r="F57" i="7"/>
  <c r="F7" i="2"/>
  <c r="F7" i="7"/>
  <c r="G5" i="7"/>
  <c r="F10" i="2"/>
  <c r="F10" i="7"/>
  <c r="E26" i="7"/>
  <c r="E26" i="2"/>
  <c r="F40" i="7"/>
  <c r="F41" i="7"/>
  <c r="F41" i="2"/>
  <c r="F29" i="7"/>
  <c r="F29" i="2"/>
  <c r="F33" i="7"/>
  <c r="F33" i="2"/>
  <c r="E41" i="7"/>
  <c r="E41" i="2"/>
  <c r="F38" i="2"/>
  <c r="F38" i="7"/>
  <c r="E38" i="7"/>
  <c r="E38" i="2"/>
  <c r="E39" i="7"/>
  <c r="E39" i="2"/>
  <c r="F32" i="7"/>
  <c r="F32" i="2"/>
  <c r="E34" i="7"/>
  <c r="E34" i="2"/>
  <c r="F34" i="7"/>
  <c r="F34" i="2"/>
  <c r="E30" i="2"/>
  <c r="E30" i="7"/>
  <c r="E33" i="7"/>
  <c r="E33" i="2"/>
  <c r="G5" i="2"/>
  <c r="E5" i="7" l="1"/>
  <c r="F5" i="7" s="1"/>
</calcChain>
</file>

<file path=xl/sharedStrings.xml><?xml version="1.0" encoding="utf-8"?>
<sst xmlns="http://schemas.openxmlformats.org/spreadsheetml/2006/main" count="4061" uniqueCount="189">
  <si>
    <t>QUESTIONS</t>
  </si>
  <si>
    <t>RESPONSE (Yes/No/In progress)</t>
  </si>
  <si>
    <t>Is there a national policy for HRH?</t>
  </si>
  <si>
    <t>Is there a national strategic/investment plan for HRH?</t>
  </si>
  <si>
    <t>a.	What is the period covered by current the HRH plan?</t>
  </si>
  <si>
    <t>b. Has the strategy plan been costed?</t>
  </si>
  <si>
    <t xml:space="preserve">c. Does it include projections of the HRH needs/demand </t>
  </si>
  <si>
    <t>d. Do the projections cover the public and private sectors?</t>
  </si>
  <si>
    <t>a. Educational targets (supply of health workforce)</t>
  </si>
  <si>
    <t>b. Recruitment targets (planned new recruitments)</t>
  </si>
  <si>
    <t>c. Deployment and distribution</t>
  </si>
  <si>
    <t>d. Incentives/retention strategies</t>
  </si>
  <si>
    <t xml:space="preserve">e. International migration of staff  </t>
  </si>
  <si>
    <t>Is there a commitment for increased allocation from national resources for plan implementation?</t>
  </si>
  <si>
    <t>Angola</t>
  </si>
  <si>
    <t>YES</t>
  </si>
  <si>
    <t>NO</t>
  </si>
  <si>
    <t>Benin</t>
  </si>
  <si>
    <t>Botswana</t>
  </si>
  <si>
    <t>Burkina Faso</t>
  </si>
  <si>
    <t>IN PROGRESS</t>
  </si>
  <si>
    <t>Burundi</t>
  </si>
  <si>
    <t>Cameroon</t>
  </si>
  <si>
    <t>Chad</t>
  </si>
  <si>
    <t>Comoros</t>
  </si>
  <si>
    <t>Congo</t>
  </si>
  <si>
    <t>Cote d'Ivoire</t>
  </si>
  <si>
    <t>Democratic Republic of Congo</t>
  </si>
  <si>
    <t>Equatorial Guinea</t>
  </si>
  <si>
    <t>Eritrea</t>
  </si>
  <si>
    <t>Eswatini</t>
  </si>
  <si>
    <t>Ethiopia</t>
  </si>
  <si>
    <t>Gambia</t>
  </si>
  <si>
    <t>Ghana</t>
  </si>
  <si>
    <t>Guinea</t>
  </si>
  <si>
    <t>Guinea-Bissau</t>
  </si>
  <si>
    <t>Kenya</t>
  </si>
  <si>
    <t>Lesotho</t>
  </si>
  <si>
    <t>Liberia</t>
  </si>
  <si>
    <t>Mali</t>
  </si>
  <si>
    <t>Mauritania</t>
  </si>
  <si>
    <t>Mozambique</t>
  </si>
  <si>
    <t>Namibia</t>
  </si>
  <si>
    <t>Niger</t>
  </si>
  <si>
    <t>Nigeria</t>
  </si>
  <si>
    <t>Senegal</t>
  </si>
  <si>
    <t>Seychelles</t>
  </si>
  <si>
    <t>Sierra Leone</t>
  </si>
  <si>
    <t>South sudan</t>
  </si>
  <si>
    <t>Tanzania</t>
  </si>
  <si>
    <t>Togo</t>
  </si>
  <si>
    <t>Zambia</t>
  </si>
  <si>
    <t>Zimbabwe</t>
  </si>
  <si>
    <t>Country</t>
  </si>
  <si>
    <t>Sub_indicator</t>
  </si>
  <si>
    <t>Respoonse</t>
  </si>
  <si>
    <t>Sub-indicator 1</t>
  </si>
  <si>
    <t>Sub-indicator 2</t>
  </si>
  <si>
    <t>Sub-indicator 3</t>
  </si>
  <si>
    <t>Sub-indicator 4</t>
  </si>
  <si>
    <r>
      <t xml:space="preserve">Existence of </t>
    </r>
    <r>
      <rPr>
        <sz val="12"/>
        <color rgb="FF0070C0"/>
        <rFont val="Times New Roman"/>
        <family val="1"/>
      </rPr>
      <t>institutional mechanisms or bodies to coordinate an intersectoral health workforce agenda</t>
    </r>
    <r>
      <rPr>
        <sz val="12"/>
        <color theme="1"/>
        <rFont val="Times New Roman"/>
        <family val="1"/>
      </rPr>
      <t xml:space="preserve"> (Yes/No)</t>
    </r>
  </si>
  <si>
    <r>
      <t xml:space="preserve">Existence of </t>
    </r>
    <r>
      <rPr>
        <sz val="12"/>
        <color rgb="FF0070C0"/>
        <rFont val="Times New Roman"/>
        <family val="1"/>
      </rPr>
      <t>mechanisms and models for health workforce planning</t>
    </r>
    <r>
      <rPr>
        <sz val="12"/>
        <color theme="1"/>
        <rFont val="Times New Roman"/>
        <family val="1"/>
      </rPr>
      <t xml:space="preserve"> (Yes/No)</t>
    </r>
  </si>
  <si>
    <r>
      <t>Existence of</t>
    </r>
    <r>
      <rPr>
        <sz val="12"/>
        <color rgb="FF0070C0"/>
        <rFont val="Times New Roman"/>
        <family val="1"/>
      </rPr>
      <t xml:space="preserve"> national education plans for the health workforce, aligned with the national health plan and the national health workforce strategy/plan</t>
    </r>
    <r>
      <rPr>
        <sz val="12"/>
        <color theme="1"/>
        <rFont val="Times New Roman"/>
        <family val="1"/>
      </rPr>
      <t xml:space="preserve"> (Yes/No)</t>
    </r>
  </si>
  <si>
    <r>
      <t xml:space="preserve">Existence of </t>
    </r>
    <r>
      <rPr>
        <sz val="12"/>
        <color rgb="FF0070C0"/>
        <rFont val="Times New Roman"/>
        <family val="1"/>
      </rPr>
      <t xml:space="preserve">institutional models for assessing and monitoring staffing needs for health service delivery </t>
    </r>
    <r>
      <rPr>
        <sz val="12"/>
        <color theme="1"/>
        <rFont val="Times New Roman"/>
        <family val="1"/>
      </rPr>
      <t>(Yes/No)</t>
    </r>
  </si>
  <si>
    <t>RESPONSES</t>
  </si>
  <si>
    <t xml:space="preserve">Is there an HRH department/Directorate in the MoH responsible for developing, implementing and monitoring HRH strategies? </t>
  </si>
  <si>
    <t>a. If YES, what are the main functions of the department/unit/team?</t>
  </si>
  <si>
    <t xml:space="preserve">          i.    HRH policy development</t>
  </si>
  <si>
    <t xml:space="preserve">          ii.    HRH planning</t>
  </si>
  <si>
    <t xml:space="preserve">          iii.    Personnel administration  </t>
  </si>
  <si>
    <t xml:space="preserve">          iv.    Training and development  </t>
  </si>
  <si>
    <t xml:space="preserve">          v.    HRH information system</t>
  </si>
  <si>
    <t xml:space="preserve">          vi.     Research, studies, documentation  </t>
  </si>
  <si>
    <t xml:space="preserve">          vii.    Monitoring and evaluation    </t>
  </si>
  <si>
    <t xml:space="preserve">          viii.    Other (specify)</t>
  </si>
  <si>
    <t xml:space="preserve">Is the head of the unit part of senior management team of the Ministry </t>
  </si>
  <si>
    <t xml:space="preserve">Do you have HRH units at the regional/State/Provincial level? </t>
  </si>
  <si>
    <t xml:space="preserve">Do you have a multisectoral HRH national working group or taskforce in place </t>
  </si>
  <si>
    <t xml:space="preserve">Have you ever conducted a health workforce labour market study? </t>
  </si>
  <si>
    <t>Does your country allow dual employment (i.e. for staff working full time in public sector to practice in the private sector) ?</t>
  </si>
  <si>
    <t>How many health worker strikes have taken place in the last 12 months in the country (for some or all categories combined)?</t>
  </si>
  <si>
    <t>What is the average duration of a health worker strike in the last 12 months (in days)</t>
  </si>
  <si>
    <t>Are strikes happening often (more than once a year) locally or across the country?</t>
  </si>
  <si>
    <t xml:space="preserve">Is there a conflict resolution mechanism? If yes, specify in the remarks column </t>
  </si>
  <si>
    <t>Do strikes normally have an impact on the functioning of health centers (or it’s mainly hospitals only?)</t>
  </si>
  <si>
    <t>PLANNED</t>
  </si>
  <si>
    <t>7-14 days</t>
  </si>
  <si>
    <t>Often locally</t>
  </si>
  <si>
    <t>Limited impact</t>
  </si>
  <si>
    <t>Significant impact</t>
  </si>
  <si>
    <t>Conflict management, advising structures on HR matters, channelling relations with the Civil Service Department</t>
  </si>
  <si>
    <t>1-3 days</t>
  </si>
  <si>
    <t>No impact</t>
  </si>
  <si>
    <t>4-6 days</t>
  </si>
  <si>
    <t>Democratic Reepublic of Congo</t>
  </si>
  <si>
    <t xml:space="preserve">Often across the country </t>
  </si>
  <si>
    <t>Salary Administration &amp; Industrial Relations</t>
  </si>
  <si>
    <t>15 days &amp; +</t>
  </si>
  <si>
    <t>Yes</t>
  </si>
  <si>
    <t>Development of proposals for cordination of partners and HRH at sub-national levels</t>
  </si>
  <si>
    <t>Often across the country</t>
  </si>
  <si>
    <t>Impact limité</t>
  </si>
  <si>
    <t>No</t>
  </si>
  <si>
    <t>4-AFR-05 HRH Governance capacity in MoH and HRH regulation</t>
  </si>
  <si>
    <t>4-02 Existence of central health workforce unit and its subfunctions</t>
  </si>
  <si>
    <t>Sub-Indicator</t>
  </si>
  <si>
    <t>4-01 Regulation on working conditions</t>
  </si>
  <si>
    <t>Response</t>
  </si>
  <si>
    <r>
      <t xml:space="preserve">Existence of </t>
    </r>
    <r>
      <rPr>
        <b/>
        <sz val="18"/>
        <color rgb="FF0070C0"/>
        <rFont val="Aptos Narrow"/>
        <family val="2"/>
        <scheme val="minor"/>
      </rPr>
      <t>national/subnational policies/laws regulating minimum wage</t>
    </r>
    <r>
      <rPr>
        <b/>
        <sz val="18"/>
        <color theme="1"/>
        <rFont val="Aptos Narrow"/>
        <family val="2"/>
        <scheme val="minor"/>
      </rPr>
      <t xml:space="preserve">  (Yes/No)</t>
    </r>
  </si>
  <si>
    <r>
      <t xml:space="preserve">Existence of </t>
    </r>
    <r>
      <rPr>
        <b/>
        <sz val="18"/>
        <color rgb="FF0070C0"/>
        <rFont val="Aptos Narrow"/>
        <family val="2"/>
        <scheme val="minor"/>
      </rPr>
      <t>national/subnational policies/laws regulating social protection</t>
    </r>
    <r>
      <rPr>
        <b/>
        <sz val="18"/>
        <color theme="1"/>
        <rFont val="Aptos Narrow"/>
        <family val="2"/>
        <scheme val="minor"/>
      </rPr>
      <t xml:space="preserve"> (Yes/No)</t>
    </r>
  </si>
  <si>
    <r>
      <t xml:space="preserve">Existence of </t>
    </r>
    <r>
      <rPr>
        <b/>
        <sz val="18"/>
        <color rgb="FF0070C0"/>
        <rFont val="Aptos Narrow"/>
        <family val="2"/>
        <scheme val="minor"/>
      </rPr>
      <t>national/subnational policies/laws regulating dual practice</t>
    </r>
    <r>
      <rPr>
        <b/>
        <sz val="18"/>
        <color theme="1"/>
        <rFont val="Aptos Narrow"/>
        <family val="2"/>
        <scheme val="minor"/>
      </rPr>
      <t xml:space="preserve"> (Yes/No)</t>
    </r>
  </si>
  <si>
    <r>
      <t xml:space="preserve">Existence of </t>
    </r>
    <r>
      <rPr>
        <b/>
        <sz val="18"/>
        <color rgb="FF0070C0"/>
        <rFont val="Aptos Narrow"/>
        <family val="2"/>
        <scheme val="minor"/>
      </rPr>
      <t>national/subnational policies/laws regulating compulsory service</t>
    </r>
    <r>
      <rPr>
        <b/>
        <sz val="18"/>
        <color theme="1"/>
        <rFont val="Aptos Narrow"/>
        <family val="2"/>
        <scheme val="minor"/>
      </rPr>
      <t xml:space="preserve"> (Yes/No)</t>
    </r>
  </si>
  <si>
    <t>No Countries</t>
  </si>
  <si>
    <t>% Yes</t>
  </si>
  <si>
    <t>% No</t>
  </si>
  <si>
    <r>
      <t xml:space="preserve">Existence of </t>
    </r>
    <r>
      <rPr>
        <sz val="12"/>
        <color rgb="FF0070C0"/>
        <rFont val="Times New Roman"/>
        <family val="1"/>
      </rPr>
      <t>national/subnational policies/laws regulating minimum wage</t>
    </r>
    <r>
      <rPr>
        <sz val="12"/>
        <color theme="1"/>
        <rFont val="Times New Roman"/>
        <family val="1"/>
      </rPr>
      <t xml:space="preserve">  (Yes/No)</t>
    </r>
  </si>
  <si>
    <r>
      <t xml:space="preserve">Existence of </t>
    </r>
    <r>
      <rPr>
        <sz val="12"/>
        <color rgb="FF0070C0"/>
        <rFont val="Times New Roman"/>
        <family val="1"/>
      </rPr>
      <t>national/subnational policies/laws regulating social protection</t>
    </r>
    <r>
      <rPr>
        <sz val="12"/>
        <color theme="1"/>
        <rFont val="Times New Roman"/>
        <family val="1"/>
      </rPr>
      <t xml:space="preserve"> (Yes/No)</t>
    </r>
  </si>
  <si>
    <r>
      <t xml:space="preserve">Existence of </t>
    </r>
    <r>
      <rPr>
        <sz val="12"/>
        <color rgb="FF0070C0"/>
        <rFont val="Times New Roman"/>
        <family val="1"/>
      </rPr>
      <t>national/subnational policies/laws regulating dual practice</t>
    </r>
    <r>
      <rPr>
        <sz val="12"/>
        <color theme="1"/>
        <rFont val="Times New Roman"/>
        <family val="1"/>
      </rPr>
      <t xml:space="preserve"> (Yes/No)</t>
    </r>
  </si>
  <si>
    <r>
      <t xml:space="preserve">Existence of </t>
    </r>
    <r>
      <rPr>
        <sz val="12"/>
        <color rgb="FF0070C0"/>
        <rFont val="Times New Roman"/>
        <family val="1"/>
      </rPr>
      <t>national/subnational policies/laws regulating compulsory service</t>
    </r>
    <r>
      <rPr>
        <sz val="12"/>
        <color theme="1"/>
        <rFont val="Times New Roman"/>
        <family val="1"/>
      </rPr>
      <t xml:space="preserve"> (Yes/No)</t>
    </r>
  </si>
  <si>
    <t>Dimension</t>
  </si>
  <si>
    <t>If there is a strategic plan, what elements are covered?</t>
  </si>
  <si>
    <t>Sub-indicator</t>
  </si>
  <si>
    <t>NHWA 4-02 Existence of central health workforce unit and its subfunctions</t>
  </si>
  <si>
    <t>NHWA 4-01 Regulation on working conditions</t>
  </si>
  <si>
    <t xml:space="preserve">AFR-04 HRH policy, Strategy and plan </t>
  </si>
  <si>
    <t>AFR-05 HRH Governance capacity in MoH and HRH regulation</t>
  </si>
  <si>
    <t xml:space="preserve">1. Is there an HRH department/Directorate in the MoH responsible for developing, implementing and monitoring HRH strategies? </t>
  </si>
  <si>
    <t xml:space="preserve"> 2. If there is Central HRH Unit, what are the main functions of the department/unit/team?</t>
  </si>
  <si>
    <t xml:space="preserve">3. Is the head of the unit part of senior management team of the Ministry </t>
  </si>
  <si>
    <t xml:space="preserve">4. Do you have HRH units at the regional/State/Provincial level? </t>
  </si>
  <si>
    <t xml:space="preserve">5. Do you have a multisectoral HRH national working group or taskforce in place </t>
  </si>
  <si>
    <t xml:space="preserve">6. Have you ever conducted a health workforce labour market study? </t>
  </si>
  <si>
    <t>1. Existence of institutional mechanisms or bodies to coordinate an intersectoral health workforce agenda</t>
  </si>
  <si>
    <t>2. Existence of mechanisms and models for health workforce planning</t>
  </si>
  <si>
    <t>3. Existence of national education plans for the health workforce, aligned with the national health plan and the national health workforce strategy/plan</t>
  </si>
  <si>
    <t>4. Existence of institutional models for assessing and monitoring staffing needs for health service delivery</t>
  </si>
  <si>
    <t xml:space="preserve">1. Existence of national/subnational policies/laws regulating minimum wage </t>
  </si>
  <si>
    <t>2. Existence of national/subnational policies/laws regulating social protection</t>
  </si>
  <si>
    <t>3. Existence of national/subnational policies/laws regulating dual practice</t>
  </si>
  <si>
    <t>4. Existence of national/subnational policies/laws regulating compulsory service</t>
  </si>
  <si>
    <t>1. Is there a national policy for HRH?</t>
  </si>
  <si>
    <t>2. Is there a national strategic/investment plan for HRH?</t>
  </si>
  <si>
    <t>3. If there is a strategic plan, what elements are covered?</t>
  </si>
  <si>
    <t>4. Is there a commitment for increased allocation from national resources for plan implementation?</t>
  </si>
  <si>
    <t>No Countries that responded out of 47</t>
  </si>
  <si>
    <t>Main Indicator and Sub-Indicators</t>
  </si>
  <si>
    <t>Number of Countries</t>
  </si>
  <si>
    <t>i. Has the strategy plan been costed?</t>
  </si>
  <si>
    <t xml:space="preserve">ii. Does it include projections of the HRH needs/demand </t>
  </si>
  <si>
    <t>iii. Do the projections cover the public and private sectors?</t>
  </si>
  <si>
    <t>i. Educational targets (supply of health workforce)</t>
  </si>
  <si>
    <t>ii. Recruitment targets (planned new recruitments)</t>
  </si>
  <si>
    <t>iii. Deployment and distribution</t>
  </si>
  <si>
    <t>iv. Incentives/retention strategies</t>
  </si>
  <si>
    <t xml:space="preserve">v. International migration of staff  </t>
  </si>
  <si>
    <t xml:space="preserve">4. Do you have a multisectoral HRH national working group or taskforce in place </t>
  </si>
  <si>
    <t xml:space="preserve">5. Have you ever conducted a health workforce labour market study? </t>
  </si>
  <si>
    <t>N</t>
  </si>
  <si>
    <t>Existence of institutional mechanisms or bodies to coordinate an intersectoral health workforce agenda (N = 29)</t>
  </si>
  <si>
    <t>Existence of mechanisms and models for health workforce planning (N = 29)</t>
  </si>
  <si>
    <t>Existence of national education plans for the health workforce, aligned with the national health plan and the national health workforce strategy/plan (N = 29)</t>
  </si>
  <si>
    <t>Existence of institutional models for assessing and monitoring staffing needs for health service delivery (N = 29)</t>
  </si>
  <si>
    <t>Availability of a national policy for HRH (N=30)</t>
  </si>
  <si>
    <t>Availability of a national strategic/investment plan for HRH (N = 35)</t>
  </si>
  <si>
    <t>A commitment to increase allocation from national resources to to implement HRH strategy/Investment Plan (N = 26)</t>
  </si>
  <si>
    <t>HRH strategic plan is costed (N = 25)</t>
  </si>
  <si>
    <t>HRH strategic plan has projections of the HRH needs/demand (N = 25)</t>
  </si>
  <si>
    <t>HRH strategic plan projections cover the public and private sectors (N = 24)</t>
  </si>
  <si>
    <t>HRH strategic plan has educational targets to shape supply of health workforce (N = 24)</t>
  </si>
  <si>
    <t>HRH strategic plan has recruitment targets (planned new recruitments) (N = 24)</t>
  </si>
  <si>
    <t>HRH strategic plan addrerss deployment and distribution (N = 24)</t>
  </si>
  <si>
    <t>HRH strategic plan has incentives/retention strategies (N = 24)</t>
  </si>
  <si>
    <t>HRH strategic plan address international migration of staff  (N = 24)</t>
  </si>
  <si>
    <t>Availability of HRH department/Directorate in the MoH responsible for developing, implementing and monitoring HRH strategies</t>
  </si>
  <si>
    <t>The head of the HRH unit being part of Senior Management team of the Ministry of Health</t>
  </si>
  <si>
    <t>Availability of HRH units at the sub-national level (regional/state/provincial)</t>
  </si>
  <si>
    <t xml:space="preserve">Country ever conducted a health workforce labour market study (N = 27) </t>
  </si>
  <si>
    <t>Existence of national/subnational policies/laws regulating minimum wage (N = 29)</t>
  </si>
  <si>
    <t>Existence of national/subnational policies/laws regulating social protection (N = 29)</t>
  </si>
  <si>
    <t>Existence of national/subnational policies/laws regulating dual practice (N = 28)</t>
  </si>
  <si>
    <t>Existence of national/subnational policies/laws regulating compulsory service (N = 28)</t>
  </si>
  <si>
    <t xml:space="preserve">Occurences of health worker strikes in the last 12 months </t>
  </si>
  <si>
    <t>None</t>
  </si>
  <si>
    <t>1-2 times</t>
  </si>
  <si>
    <t>3 or more times</t>
  </si>
  <si>
    <t>Number of countries</t>
  </si>
  <si>
    <t>Percent of countries</t>
  </si>
  <si>
    <t>Impact of strikes</t>
  </si>
  <si>
    <t>Limited Impact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</si>
</sst>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5" x14ac:knownFonts="1">
    <font>
      <sz val="12"/>
      <color theme="1"/>
      <name val="Aptos Narrow"/>
      <family val="2"/>
      <scheme val="minor"/>
    </font>
    <font>
      <sz val="12"/>
      <color theme="1"/>
      <name val="Aptos Narrow"/>
      <family val="2"/>
      <scheme val="minor"/>
    </font>
    <font>
      <b/>
      <sz val="12"/>
      <color theme="1"/>
      <name val="Aptos Narrow"/>
      <family val="2"/>
      <scheme val="minor"/>
    </font>
    <font>
      <b/>
      <sz val="18"/>
      <color theme="1"/>
      <name val="Aptos Narrow"/>
      <family val="2"/>
      <scheme val="minor"/>
    </font>
    <font>
      <sz val="18"/>
      <color theme="1"/>
      <name val="Aptos Narrow"/>
      <family val="2"/>
      <scheme val="minor"/>
    </font>
    <font>
      <i/>
      <sz val="18"/>
      <color rgb="FF0070C0"/>
      <name val="Aptos Narrow"/>
      <family val="2"/>
      <scheme val="minor"/>
    </font>
    <font>
      <b/>
      <sz val="18"/>
      <color rgb="FF0070C0"/>
      <name val="Aptos Narrow"/>
      <family val="2"/>
      <scheme val="minor"/>
    </font>
    <font>
      <sz val="18"/>
      <color theme="1"/>
      <name val="Times New Roman"/>
      <family val="1"/>
    </font>
    <font>
      <b/>
      <sz val="18"/>
      <color theme="1"/>
      <name val="Times New Roman"/>
      <family val="1"/>
    </font>
    <font>
      <sz val="12"/>
      <color theme="1"/>
      <name val="Times New Roman"/>
      <family val="1"/>
    </font>
    <font>
      <b/>
      <sz val="12"/>
      <color theme="1"/>
      <name val="Times New Roman"/>
      <family val="1"/>
    </font>
    <font>
      <sz val="12"/>
      <color rgb="FFFF0000"/>
      <name val="Times New Roman"/>
      <family val="1"/>
    </font>
    <font>
      <sz val="12"/>
      <color rgb="FF0070C0"/>
      <name val="Times New Roman"/>
      <family val="1"/>
    </font>
    <font>
      <b/>
      <i/>
      <sz val="18"/>
      <color theme="9" tint="-0.499984740745262"/>
      <name val="Aptos Narrow"/>
      <family val="2"/>
      <scheme val="minor"/>
    </font>
    <font>
      <sz val="16"/>
      <color theme="1"/>
      <name val="Aptos Narrow"/>
      <family val="2"/>
      <scheme val="minor"/>
    </font>
    <font>
      <b/>
      <sz val="18"/>
      <color theme="1"/>
      <name val="Aptos Narrow"/>
      <scheme val="minor"/>
    </font>
    <font>
      <sz val="18"/>
      <color theme="1"/>
      <name val="Aptos Narrow"/>
      <scheme val="minor"/>
    </font>
    <font>
      <i/>
      <sz val="12"/>
      <color rgb="FF0070C0"/>
      <name val="Aptos Narrow"/>
      <family val="2"/>
      <scheme val="minor"/>
    </font>
    <font>
      <b/>
      <i/>
      <sz val="12"/>
      <color theme="9" tint="-0.499984740745262"/>
      <name val="Aptos Narrow"/>
      <family val="2"/>
      <scheme val="minor"/>
    </font>
    <font>
      <sz val="12"/>
      <name val="Aptos Narrow"/>
      <family val="2"/>
      <scheme val="minor"/>
    </font>
    <font>
      <i/>
      <sz val="18"/>
      <name val="Aptos Narrow"/>
      <scheme val="minor"/>
    </font>
    <font>
      <i/>
      <sz val="18"/>
      <name val="Aptos Narrow"/>
      <family val="2"/>
      <scheme val="minor"/>
    </font>
    <font>
      <sz val="18"/>
      <name val="Times New Roman"/>
      <family val="1"/>
    </font>
    <font>
      <b/>
      <sz val="18"/>
      <name val="Aptos Narrow"/>
      <family val="2"/>
      <scheme val="minor"/>
    </font>
    <font>
      <b/>
      <sz val="18"/>
      <name val="Times New Roman"/>
      <family val="1"/>
    </font>
  </fonts>
  <fills count="6">
    <fill>
      <patternFill patternType="none"/>
    </fill>
    <fill>
      <patternFill patternType="gray125"/>
    </fill>
    <fill>
      <patternFill patternType="solid">
        <fgColor rgb="FFECF4FA"/>
        <bgColor indexed="64"/>
      </patternFill>
    </fill>
    <fill>
      <patternFill patternType="solid">
        <fgColor theme="0" tint="-4.9989318521683403E-2"/>
        <bgColor indexed="64"/>
      </patternFill>
    </fill>
    <fill>
      <patternFill patternType="solid">
        <fgColor theme="0" tint="-0.249977111117893"/>
        <bgColor indexed="64"/>
      </patternFill>
    </fill>
    <fill>
      <patternFill patternType="solid">
        <fgColor theme="0" tint="-0.14999847407452621"/>
        <bgColor indexed="64"/>
      </patternFill>
    </fill>
  </fills>
  <borders count="12">
    <border>
      <left/>
      <right/>
      <top/>
      <bottom/>
      <diagonal/>
    </border>
    <border>
      <left style="medium">
        <color indexed="64"/>
      </left>
      <right style="medium">
        <color indexed="64"/>
      </right>
      <top style="thin">
        <color indexed="64"/>
      </top>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thin">
        <color indexed="64"/>
      </bottom>
      <diagonal/>
    </border>
    <border>
      <left style="medium">
        <color indexed="64"/>
      </left>
      <right style="thin">
        <color indexed="64"/>
      </right>
      <top style="medium">
        <color indexed="64"/>
      </top>
      <bottom/>
      <diagonal/>
    </border>
    <border>
      <left style="medium">
        <color indexed="64"/>
      </left>
      <right style="thin">
        <color indexed="64"/>
      </right>
      <top style="medium">
        <color indexed="64"/>
      </top>
      <bottom style="medium">
        <color indexed="64"/>
      </bottom>
      <diagonal/>
    </border>
    <border>
      <left/>
      <right/>
      <top style="thin">
        <color indexed="64"/>
      </top>
      <bottom style="double">
        <color indexed="64"/>
      </bottom>
      <diagonal/>
    </border>
    <border>
      <left/>
      <right/>
      <top style="thin">
        <color indexed="64"/>
      </top>
      <bottom/>
      <diagonal/>
    </border>
    <border>
      <left/>
      <right/>
      <top/>
      <bottom style="double">
        <color indexed="64"/>
      </bottom>
      <diagonal/>
    </border>
  </borders>
  <cellStyleXfs count="2">
    <xf numFmtId="0" fontId="0" fillId="0" borderId="0"/>
    <xf numFmtId="9" fontId="1" fillId="0" borderId="0" applyFont="0" applyFill="0" applyBorder="0" applyAlignment="0" applyProtection="0"/>
  </cellStyleXfs>
  <cellXfs count="123">
    <xf numFmtId="0" fontId="0" fillId="0" borderId="0" xfId="0"/>
    <xf numFmtId="0" fontId="3" fillId="0" borderId="0" xfId="0" applyFont="1" applyAlignment="1">
      <alignment vertical="center"/>
    </xf>
    <xf numFmtId="0" fontId="4" fillId="0" borderId="0" xfId="0" applyFont="1" applyAlignment="1">
      <alignment vertical="center"/>
    </xf>
    <xf numFmtId="0" fontId="3" fillId="2" borderId="5" xfId="0" applyFont="1" applyFill="1" applyBorder="1" applyAlignment="1">
      <alignment horizontal="left"/>
    </xf>
    <xf numFmtId="0" fontId="4" fillId="0" borderId="0" xfId="0" applyFont="1" applyAlignment="1">
      <alignment horizontal="left" vertical="center"/>
    </xf>
    <xf numFmtId="0" fontId="3" fillId="0" borderId="7" xfId="0" applyFont="1" applyBorder="1" applyAlignment="1">
      <alignment horizontal="left" vertical="center"/>
    </xf>
    <xf numFmtId="0" fontId="0" fillId="0" borderId="0" xfId="0" applyAlignment="1">
      <alignment horizontal="left"/>
    </xf>
    <xf numFmtId="0" fontId="9" fillId="0" borderId="0" xfId="0" applyFont="1"/>
    <xf numFmtId="0" fontId="9" fillId="0" borderId="0" xfId="0" applyFont="1" applyAlignment="1">
      <alignment horizontal="left"/>
    </xf>
    <xf numFmtId="0" fontId="9" fillId="0" borderId="0" xfId="0" applyFont="1" applyAlignment="1">
      <alignment vertical="center"/>
    </xf>
    <xf numFmtId="0" fontId="10" fillId="0" borderId="0" xfId="0" applyFont="1" applyAlignment="1">
      <alignment vertical="center"/>
    </xf>
    <xf numFmtId="0" fontId="11" fillId="0" borderId="0" xfId="0" applyFont="1"/>
    <xf numFmtId="0" fontId="9" fillId="0" borderId="3" xfId="0" applyFont="1" applyBorder="1"/>
    <xf numFmtId="0" fontId="10" fillId="0" borderId="0" xfId="0" applyFont="1" applyAlignment="1">
      <alignment horizontal="left" vertical="center"/>
    </xf>
    <xf numFmtId="0" fontId="9" fillId="0" borderId="3" xfId="0" applyFont="1" applyBorder="1" applyAlignment="1">
      <alignment horizontal="center" vertical="center"/>
    </xf>
    <xf numFmtId="0" fontId="9" fillId="0" borderId="7" xfId="0" applyFont="1" applyBorder="1" applyAlignment="1">
      <alignment horizontal="left" vertical="center"/>
    </xf>
    <xf numFmtId="0" fontId="9" fillId="0" borderId="8" xfId="0" applyFont="1" applyBorder="1" applyAlignment="1">
      <alignment horizontal="left" vertical="center"/>
    </xf>
    <xf numFmtId="0" fontId="3" fillId="2" borderId="3" xfId="0" applyFont="1" applyFill="1" applyBorder="1" applyAlignment="1">
      <alignment vertical="center"/>
    </xf>
    <xf numFmtId="0" fontId="5" fillId="0" borderId="4" xfId="0" applyFont="1" applyBorder="1"/>
    <xf numFmtId="0" fontId="13" fillId="0" borderId="6" xfId="0" applyFont="1" applyBorder="1"/>
    <xf numFmtId="0" fontId="13" fillId="0" borderId="2" xfId="0" applyFont="1" applyBorder="1"/>
    <xf numFmtId="0" fontId="3" fillId="0" borderId="3" xfId="0" applyFont="1" applyBorder="1" applyAlignment="1">
      <alignment horizontal="left" vertical="center"/>
    </xf>
    <xf numFmtId="0" fontId="5" fillId="0" borderId="5" xfId="0" applyFont="1" applyBorder="1" applyAlignment="1">
      <alignment horizontal="left"/>
    </xf>
    <xf numFmtId="0" fontId="4" fillId="0" borderId="6" xfId="0" applyFont="1" applyBorder="1" applyAlignment="1">
      <alignment horizontal="left"/>
    </xf>
    <xf numFmtId="0" fontId="4" fillId="0" borderId="2" xfId="0" applyFont="1" applyBorder="1" applyAlignment="1">
      <alignment horizontal="left"/>
    </xf>
    <xf numFmtId="0" fontId="4" fillId="0" borderId="1" xfId="0" applyFont="1" applyBorder="1" applyAlignment="1">
      <alignment horizontal="left"/>
    </xf>
    <xf numFmtId="0" fontId="14" fillId="0" borderId="2" xfId="0" applyFont="1" applyBorder="1" applyAlignment="1">
      <alignment horizontal="left"/>
    </xf>
    <xf numFmtId="0" fontId="4" fillId="0" borderId="3" xfId="0" applyFont="1" applyBorder="1" applyAlignment="1">
      <alignment horizontal="left"/>
    </xf>
    <xf numFmtId="0" fontId="4" fillId="0" borderId="3" xfId="0" applyFont="1" applyBorder="1" applyAlignment="1" applyProtection="1">
      <alignment horizontal="left" vertical="center"/>
      <protection locked="0"/>
    </xf>
    <xf numFmtId="0" fontId="15" fillId="0" borderId="0" xfId="0" applyFont="1" applyAlignment="1">
      <alignment horizontal="left" vertical="center"/>
    </xf>
    <xf numFmtId="0" fontId="15" fillId="0" borderId="0" xfId="0" applyFont="1" applyAlignment="1">
      <alignment horizontal="left"/>
    </xf>
    <xf numFmtId="0" fontId="3" fillId="0" borderId="0" xfId="0" applyFont="1" applyAlignment="1">
      <alignment horizontal="left" vertical="center"/>
    </xf>
    <xf numFmtId="9" fontId="0" fillId="0" borderId="0" xfId="1" applyFont="1"/>
    <xf numFmtId="0" fontId="0" fillId="0" borderId="0" xfId="0" applyAlignment="1">
      <alignment wrapText="1"/>
    </xf>
    <xf numFmtId="0" fontId="0" fillId="0" borderId="0" xfId="0" applyAlignment="1">
      <alignment horizontal="left" wrapText="1"/>
    </xf>
    <xf numFmtId="0" fontId="9" fillId="0" borderId="0" xfId="0" applyFont="1" applyAlignment="1">
      <alignment horizontal="left" vertical="center"/>
    </xf>
    <xf numFmtId="0" fontId="9" fillId="0" borderId="0" xfId="0" applyFont="1" applyAlignment="1">
      <alignment horizontal="left" vertical="center" wrapText="1"/>
    </xf>
    <xf numFmtId="0" fontId="9" fillId="0" borderId="11" xfId="0" applyFont="1" applyBorder="1" applyAlignment="1">
      <alignment horizontal="left" vertical="center"/>
    </xf>
    <xf numFmtId="0" fontId="9" fillId="0" borderId="11" xfId="0" applyFont="1" applyBorder="1" applyAlignment="1">
      <alignment horizontal="left" vertical="center" wrapText="1"/>
    </xf>
    <xf numFmtId="0" fontId="9" fillId="0" borderId="0" xfId="0" applyFont="1" applyAlignment="1">
      <alignment vertical="center" wrapText="1"/>
    </xf>
    <xf numFmtId="0" fontId="9" fillId="0" borderId="11" xfId="0" applyFont="1" applyBorder="1" applyAlignment="1">
      <alignment vertical="center"/>
    </xf>
    <xf numFmtId="0" fontId="9" fillId="0" borderId="11" xfId="0" applyFont="1" applyBorder="1" applyAlignment="1">
      <alignment vertical="center" wrapText="1"/>
    </xf>
    <xf numFmtId="0" fontId="9" fillId="0" borderId="0" xfId="0" applyFont="1" applyAlignment="1">
      <alignment horizontal="center"/>
    </xf>
    <xf numFmtId="9" fontId="9" fillId="0" borderId="0" xfId="1" applyFont="1" applyBorder="1" applyAlignment="1">
      <alignment horizontal="center"/>
    </xf>
    <xf numFmtId="0" fontId="9" fillId="0" borderId="11" xfId="0" applyFont="1" applyBorder="1" applyAlignment="1">
      <alignment horizontal="center"/>
    </xf>
    <xf numFmtId="9" fontId="9" fillId="0" borderId="11" xfId="1" applyFont="1" applyBorder="1" applyAlignment="1">
      <alignment horizontal="center"/>
    </xf>
    <xf numFmtId="0" fontId="10" fillId="3" borderId="9" xfId="0" applyFont="1" applyFill="1" applyBorder="1"/>
    <xf numFmtId="0" fontId="10" fillId="3" borderId="9" xfId="0" applyFont="1" applyFill="1" applyBorder="1" applyAlignment="1">
      <alignment vertical="center" wrapText="1"/>
    </xf>
    <xf numFmtId="0" fontId="10" fillId="3" borderId="9" xfId="0" applyFont="1" applyFill="1" applyBorder="1" applyAlignment="1">
      <alignment horizontal="center"/>
    </xf>
    <xf numFmtId="0" fontId="3" fillId="0" borderId="0" xfId="0" applyFont="1"/>
    <xf numFmtId="0" fontId="4" fillId="0" borderId="0" xfId="0" applyFont="1" applyAlignment="1">
      <alignment horizontal="left"/>
    </xf>
    <xf numFmtId="0" fontId="5" fillId="0" borderId="0" xfId="0" applyFont="1"/>
    <xf numFmtId="0" fontId="2" fillId="0" borderId="0" xfId="0" applyFont="1" applyAlignment="1">
      <alignment vertical="center"/>
    </xf>
    <xf numFmtId="0" fontId="2" fillId="0" borderId="0" xfId="0" applyFont="1"/>
    <xf numFmtId="0" fontId="10" fillId="4" borderId="9" xfId="0" applyFont="1" applyFill="1" applyBorder="1" applyAlignment="1">
      <alignment vertical="center" wrapText="1"/>
    </xf>
    <xf numFmtId="0" fontId="10" fillId="4" borderId="9" xfId="0" applyFont="1" applyFill="1" applyBorder="1" applyAlignment="1">
      <alignment horizontal="center" vertical="center" wrapText="1"/>
    </xf>
    <xf numFmtId="0" fontId="9" fillId="0" borderId="0" xfId="0" applyFont="1" applyAlignment="1">
      <alignment horizontal="center" vertical="center"/>
    </xf>
    <xf numFmtId="9" fontId="9" fillId="0" borderId="0" xfId="1" applyFont="1" applyBorder="1" applyAlignment="1">
      <alignment horizontal="center" vertical="center"/>
    </xf>
    <xf numFmtId="0" fontId="17" fillId="0" borderId="0" xfId="0" applyFont="1" applyAlignment="1">
      <alignment horizontal="left" vertical="center"/>
    </xf>
    <xf numFmtId="1" fontId="9" fillId="0" borderId="0" xfId="0" applyNumberFormat="1" applyFont="1" applyAlignment="1">
      <alignment horizontal="center" vertical="center"/>
    </xf>
    <xf numFmtId="0" fontId="2" fillId="4" borderId="9" xfId="0" applyFont="1" applyFill="1" applyBorder="1" applyAlignment="1">
      <alignment vertical="center"/>
    </xf>
    <xf numFmtId="0" fontId="10" fillId="4" borderId="9" xfId="0" applyFont="1" applyFill="1" applyBorder="1" applyAlignment="1">
      <alignment horizontal="center" vertical="center"/>
    </xf>
    <xf numFmtId="0" fontId="2" fillId="4" borderId="11" xfId="0" applyFont="1" applyFill="1" applyBorder="1" applyAlignment="1">
      <alignment vertical="center"/>
    </xf>
    <xf numFmtId="0" fontId="9" fillId="4" borderId="11" xfId="0" applyFont="1" applyFill="1" applyBorder="1" applyAlignment="1">
      <alignment horizontal="center" vertical="center"/>
    </xf>
    <xf numFmtId="9" fontId="9" fillId="4" borderId="11" xfId="1" applyFont="1" applyFill="1" applyBorder="1" applyAlignment="1">
      <alignment horizontal="center" vertical="center"/>
    </xf>
    <xf numFmtId="0" fontId="10" fillId="0" borderId="0" xfId="0" applyFont="1" applyAlignment="1">
      <alignment horizontal="center" vertical="center"/>
    </xf>
    <xf numFmtId="9" fontId="10" fillId="0" borderId="0" xfId="1" applyFont="1" applyBorder="1" applyAlignment="1">
      <alignment horizontal="center" vertical="center"/>
    </xf>
    <xf numFmtId="0" fontId="9" fillId="0" borderId="0" xfId="0" applyFont="1" applyAlignment="1">
      <alignment wrapText="1"/>
    </xf>
    <xf numFmtId="0" fontId="10" fillId="0" borderId="11" xfId="0" applyFont="1" applyBorder="1" applyAlignment="1">
      <alignment horizontal="center" vertical="center"/>
    </xf>
    <xf numFmtId="9" fontId="10" fillId="0" borderId="11" xfId="1" applyFont="1" applyBorder="1" applyAlignment="1">
      <alignment horizontal="center" vertical="center"/>
    </xf>
    <xf numFmtId="0" fontId="10" fillId="4" borderId="9" xfId="0" applyFont="1" applyFill="1" applyBorder="1" applyAlignment="1">
      <alignment horizontal="left" vertical="center" wrapText="1"/>
    </xf>
    <xf numFmtId="0" fontId="10" fillId="4" borderId="10" xfId="0" applyFont="1" applyFill="1" applyBorder="1" applyAlignment="1">
      <alignment horizontal="center" vertical="center"/>
    </xf>
    <xf numFmtId="0" fontId="10" fillId="0" borderId="10" xfId="0" applyFont="1" applyBorder="1" applyAlignment="1">
      <alignment horizontal="center" vertical="center"/>
    </xf>
    <xf numFmtId="9" fontId="10" fillId="0" borderId="10" xfId="1" applyFont="1" applyFill="1" applyBorder="1" applyAlignment="1">
      <alignment horizontal="center" vertical="center"/>
    </xf>
    <xf numFmtId="9" fontId="10" fillId="0" borderId="0" xfId="1" applyFont="1" applyFill="1" applyBorder="1" applyAlignment="1">
      <alignment horizontal="center" vertical="center"/>
    </xf>
    <xf numFmtId="0" fontId="3" fillId="0" borderId="11" xfId="0" applyFont="1" applyBorder="1" applyAlignment="1">
      <alignment vertical="center"/>
    </xf>
    <xf numFmtId="9" fontId="10" fillId="0" borderId="11" xfId="1" applyFont="1" applyFill="1" applyBorder="1" applyAlignment="1">
      <alignment horizontal="center" vertical="center"/>
    </xf>
    <xf numFmtId="0" fontId="10" fillId="4" borderId="10" xfId="0" applyFont="1" applyFill="1" applyBorder="1" applyAlignment="1">
      <alignment horizontal="left" vertical="center" wrapText="1"/>
    </xf>
    <xf numFmtId="0" fontId="2" fillId="0" borderId="10" xfId="0" applyFont="1" applyBorder="1" applyAlignment="1">
      <alignment vertical="center" wrapText="1"/>
    </xf>
    <xf numFmtId="0" fontId="18" fillId="0" borderId="0" xfId="0" applyFont="1" applyAlignment="1">
      <alignment vertical="center" wrapText="1"/>
    </xf>
    <xf numFmtId="0" fontId="2" fillId="0" borderId="0" xfId="0" applyFont="1" applyAlignment="1">
      <alignment vertical="center" wrapText="1"/>
    </xf>
    <xf numFmtId="0" fontId="2" fillId="0" borderId="11" xfId="0" applyFont="1" applyBorder="1" applyAlignment="1">
      <alignment vertical="center" wrapText="1"/>
    </xf>
    <xf numFmtId="0" fontId="19" fillId="0" borderId="0" xfId="0" applyFont="1"/>
    <xf numFmtId="0" fontId="0" fillId="0" borderId="0" xfId="0" applyAlignment="1">
      <alignment horizontal="center" wrapText="1"/>
    </xf>
    <xf numFmtId="0" fontId="0" fillId="0" borderId="0" xfId="0" applyAlignment="1">
      <alignment horizontal="center"/>
    </xf>
    <xf numFmtId="0" fontId="8" fillId="4" borderId="9" xfId="0" applyFont="1" applyFill="1" applyBorder="1" applyAlignment="1">
      <alignment horizontal="left" vertical="center" wrapText="1"/>
    </xf>
    <xf numFmtId="0" fontId="8" fillId="4" borderId="9" xfId="0" applyFont="1" applyFill="1" applyBorder="1" applyAlignment="1">
      <alignment horizontal="center" vertical="center"/>
    </xf>
    <xf numFmtId="0" fontId="8" fillId="4" borderId="9" xfId="0" applyFont="1" applyFill="1" applyBorder="1" applyAlignment="1">
      <alignment horizontal="center" vertical="center" wrapText="1"/>
    </xf>
    <xf numFmtId="0" fontId="8" fillId="4" borderId="0" xfId="0" applyFont="1" applyFill="1" applyAlignment="1">
      <alignment horizontal="left" vertical="center" wrapText="1"/>
    </xf>
    <xf numFmtId="0" fontId="8" fillId="4" borderId="0" xfId="0" applyFont="1" applyFill="1" applyAlignment="1">
      <alignment horizontal="center" vertical="center"/>
    </xf>
    <xf numFmtId="0" fontId="8" fillId="4" borderId="0" xfId="0" applyFont="1" applyFill="1" applyAlignment="1">
      <alignment horizontal="center" vertical="center" wrapText="1"/>
    </xf>
    <xf numFmtId="0" fontId="16" fillId="0" borderId="0" xfId="0" applyFont="1" applyAlignment="1">
      <alignment vertical="center" wrapText="1"/>
    </xf>
    <xf numFmtId="0" fontId="7" fillId="0" borderId="0" xfId="0" applyFont="1" applyAlignment="1">
      <alignment horizontal="center" vertical="center"/>
    </xf>
    <xf numFmtId="9" fontId="7" fillId="0" borderId="0" xfId="1" applyFont="1" applyFill="1" applyBorder="1" applyAlignment="1">
      <alignment horizontal="center" vertical="center"/>
    </xf>
    <xf numFmtId="0" fontId="7" fillId="0" borderId="0" xfId="0" applyFont="1" applyAlignment="1">
      <alignment horizontal="center" vertical="center" wrapText="1"/>
    </xf>
    <xf numFmtId="0" fontId="20" fillId="0" borderId="0" xfId="0" applyFont="1" applyAlignment="1">
      <alignment vertical="center" wrapText="1"/>
    </xf>
    <xf numFmtId="9" fontId="7" fillId="0" borderId="0" xfId="1" applyFont="1" applyBorder="1" applyAlignment="1">
      <alignment horizontal="center" vertical="center"/>
    </xf>
    <xf numFmtId="0" fontId="8" fillId="5" borderId="11" xfId="0" applyFont="1" applyFill="1" applyBorder="1" applyAlignment="1">
      <alignment horizontal="left" vertical="center" wrapText="1"/>
    </xf>
    <xf numFmtId="0" fontId="8" fillId="5" borderId="11" xfId="0" applyFont="1" applyFill="1" applyBorder="1" applyAlignment="1">
      <alignment horizontal="center" vertical="center" wrapText="1"/>
    </xf>
    <xf numFmtId="0" fontId="7" fillId="0" borderId="0" xfId="0" applyFont="1" applyAlignment="1">
      <alignment horizontal="left" vertical="center" wrapText="1"/>
    </xf>
    <xf numFmtId="0" fontId="7" fillId="0" borderId="11" xfId="0" applyFont="1" applyBorder="1" applyAlignment="1">
      <alignment horizontal="left" vertical="center" wrapText="1"/>
    </xf>
    <xf numFmtId="0" fontId="7" fillId="0" borderId="11" xfId="0" applyFont="1" applyBorder="1" applyAlignment="1">
      <alignment horizontal="center" vertical="center"/>
    </xf>
    <xf numFmtId="9" fontId="7" fillId="0" borderId="11" xfId="1" applyFont="1" applyFill="1" applyBorder="1" applyAlignment="1">
      <alignment horizontal="center" vertical="center"/>
    </xf>
    <xf numFmtId="0" fontId="7" fillId="0" borderId="11" xfId="0" applyFont="1" applyBorder="1" applyAlignment="1">
      <alignment horizontal="center" vertical="center" wrapText="1"/>
    </xf>
    <xf numFmtId="0" fontId="7" fillId="0" borderId="0" xfId="0" applyFont="1" applyAlignment="1">
      <alignment vertical="center" wrapText="1"/>
    </xf>
    <xf numFmtId="0" fontId="7" fillId="0" borderId="0" xfId="0" applyFont="1" applyAlignment="1">
      <alignment horizontal="center"/>
    </xf>
    <xf numFmtId="9" fontId="7" fillId="0" borderId="0" xfId="1" applyFont="1" applyFill="1" applyBorder="1" applyAlignment="1">
      <alignment horizontal="center"/>
    </xf>
    <xf numFmtId="0" fontId="7" fillId="0" borderId="0" xfId="0" applyFont="1" applyAlignment="1">
      <alignment horizontal="center" wrapText="1"/>
    </xf>
    <xf numFmtId="0" fontId="7" fillId="0" borderId="11" xfId="0" applyFont="1" applyBorder="1" applyAlignment="1">
      <alignment vertical="center" wrapText="1"/>
    </xf>
    <xf numFmtId="0" fontId="7" fillId="0" borderId="11" xfId="0" applyFont="1" applyBorder="1" applyAlignment="1">
      <alignment horizontal="center"/>
    </xf>
    <xf numFmtId="9" fontId="7" fillId="0" borderId="11" xfId="1" applyFont="1" applyFill="1" applyBorder="1" applyAlignment="1">
      <alignment horizontal="center"/>
    </xf>
    <xf numFmtId="0" fontId="7" fillId="0" borderId="11" xfId="0" applyFont="1" applyBorder="1" applyAlignment="1">
      <alignment horizontal="center" wrapText="1"/>
    </xf>
    <xf numFmtId="0" fontId="8" fillId="0" borderId="0" xfId="0" applyFont="1" applyAlignment="1">
      <alignment horizontal="center" vertical="center"/>
    </xf>
    <xf numFmtId="9" fontId="8" fillId="0" borderId="0" xfId="1" applyFont="1" applyFill="1" applyBorder="1" applyAlignment="1">
      <alignment horizontal="center" vertical="center"/>
    </xf>
    <xf numFmtId="0" fontId="8" fillId="0" borderId="0" xfId="0" applyFont="1" applyAlignment="1">
      <alignment horizontal="center" vertical="center" wrapText="1"/>
    </xf>
    <xf numFmtId="0" fontId="21" fillId="0" borderId="0" xfId="0" applyFont="1" applyAlignment="1">
      <alignment horizontal="left" vertical="center" indent="3"/>
    </xf>
    <xf numFmtId="1" fontId="22" fillId="0" borderId="0" xfId="0" applyNumberFormat="1" applyFont="1" applyAlignment="1">
      <alignment horizontal="center" vertical="center"/>
    </xf>
    <xf numFmtId="0" fontId="22" fillId="0" borderId="0" xfId="0" applyFont="1" applyAlignment="1">
      <alignment horizontal="center" vertical="center"/>
    </xf>
    <xf numFmtId="9" fontId="22" fillId="0" borderId="0" xfId="1" applyFont="1" applyFill="1" applyBorder="1" applyAlignment="1">
      <alignment horizontal="center" vertical="center"/>
    </xf>
    <xf numFmtId="0" fontId="22" fillId="0" borderId="0" xfId="0" applyFont="1" applyAlignment="1">
      <alignment horizontal="center" vertical="center" wrapText="1"/>
    </xf>
    <xf numFmtId="0" fontId="23" fillId="0" borderId="9" xfId="0" applyFont="1" applyBorder="1" applyAlignment="1">
      <alignment vertical="center"/>
    </xf>
    <xf numFmtId="0" fontId="24" fillId="0" borderId="9" xfId="0" applyFont="1" applyBorder="1" applyAlignment="1">
      <alignment horizontal="center" vertical="center"/>
    </xf>
    <xf numFmtId="9" fontId="24" fillId="0" borderId="9" xfId="1" applyFont="1" applyFill="1" applyBorder="1" applyAlignment="1">
      <alignment horizontal="center" vertical="center"/>
    </xf>
  </cellXfs>
  <cellStyles count="2">
    <cellStyle name="Normal" xfId="0" builtinId="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cap="none" spc="0" normalizeH="0" baseline="0">
                <a:solidFill>
                  <a:schemeClr val="dk1">
                    <a:lumMod val="50000"/>
                    <a:lumOff val="50000"/>
                  </a:schemeClr>
                </a:solidFill>
                <a:latin typeface="+mj-lt"/>
                <a:ea typeface="+mj-ea"/>
                <a:cs typeface="+mj-cs"/>
              </a:defRPr>
            </a:pPr>
            <a:r>
              <a:rPr lang="en-GB"/>
              <a:t>AFR-05 HRH Governance capacity in MoH and HRH regulation (N = 33)</a:t>
            </a:r>
          </a:p>
        </c:rich>
      </c:tx>
      <c:overlay val="0"/>
      <c:spPr>
        <a:noFill/>
        <a:ln>
          <a:noFill/>
        </a:ln>
        <a:effectLst/>
      </c:spPr>
      <c:txPr>
        <a:bodyPr rot="0" spcFirstLastPara="1" vertOverflow="ellipsis" vert="horz" wrap="square" anchor="ctr" anchorCtr="1"/>
        <a:lstStyle/>
        <a:p>
          <a:pPr>
            <a:defRPr sz="1600" b="1" i="0" u="none" strike="noStrike" kern="1200" cap="none" spc="0" normalizeH="0" baseline="0">
              <a:solidFill>
                <a:schemeClr val="dk1">
                  <a:lumMod val="50000"/>
                  <a:lumOff val="50000"/>
                </a:schemeClr>
              </a:solidFill>
              <a:latin typeface="+mj-lt"/>
              <a:ea typeface="+mj-ea"/>
              <a:cs typeface="+mj-cs"/>
            </a:defRPr>
          </a:pPr>
          <a:endParaRPr lang="en-KE"/>
        </a:p>
      </c:txPr>
    </c:title>
    <c:autoTitleDeleted val="0"/>
    <c:plotArea>
      <c:layout/>
      <c:barChart>
        <c:barDir val="bar"/>
        <c:grouping val="stacked"/>
        <c:varyColors val="0"/>
        <c:ser>
          <c:idx val="0"/>
          <c:order val="0"/>
          <c:tx>
            <c:strRef>
              <c:f>Graphs!$C$4</c:f>
              <c:strCache>
                <c:ptCount val="1"/>
                <c:pt idx="0">
                  <c:v>Yes</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dk1">
                          <a:lumMod val="35000"/>
                          <a:lumOff val="65000"/>
                        </a:schemeClr>
                      </a:solidFill>
                      <a:round/>
                    </a:ln>
                    <a:effectLst/>
                  </c:spPr>
                </c15:leaderLines>
              </c:ext>
            </c:extLst>
          </c:dLbls>
          <c:cat>
            <c:strRef>
              <c:f>Graphs!$B$5:$B$17</c:f>
              <c:strCache>
                <c:ptCount val="3"/>
                <c:pt idx="0">
                  <c:v>Availability of HRH department/Directorate in the MoH responsible for developing, implementing and monitoring HRH strategies</c:v>
                </c:pt>
                <c:pt idx="1">
                  <c:v>The head of the HRH unit being part of Senior Management team of the Ministry of Health</c:v>
                </c:pt>
                <c:pt idx="2">
                  <c:v>Availability of HRH units at the sub-national level (regional/state/provincial)</c:v>
                </c:pt>
              </c:strCache>
            </c:strRef>
          </c:cat>
          <c:val>
            <c:numRef>
              <c:f>Graphs!$C$5:$C$17</c:f>
            </c:numRef>
          </c:val>
          <c:extLst>
            <c:ext xmlns:c16="http://schemas.microsoft.com/office/drawing/2014/chart" uri="{C3380CC4-5D6E-409C-BE32-E72D297353CC}">
              <c16:uniqueId val="{00000000-7DF9-7A4A-8687-6AF90EFFAFDB}"/>
            </c:ext>
          </c:extLst>
        </c:ser>
        <c:ser>
          <c:idx val="1"/>
          <c:order val="1"/>
          <c:tx>
            <c:strRef>
              <c:f>Graphs!$D$4</c:f>
              <c:strCache>
                <c:ptCount val="1"/>
                <c:pt idx="0">
                  <c:v>No</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dk1">
                          <a:lumMod val="35000"/>
                          <a:lumOff val="65000"/>
                        </a:schemeClr>
                      </a:solidFill>
                      <a:round/>
                    </a:ln>
                    <a:effectLst/>
                  </c:spPr>
                </c15:leaderLines>
              </c:ext>
            </c:extLst>
          </c:dLbls>
          <c:cat>
            <c:strRef>
              <c:f>Graphs!$B$5:$B$17</c:f>
              <c:strCache>
                <c:ptCount val="3"/>
                <c:pt idx="0">
                  <c:v>Availability of HRH department/Directorate in the MoH responsible for developing, implementing and monitoring HRH strategies</c:v>
                </c:pt>
                <c:pt idx="1">
                  <c:v>The head of the HRH unit being part of Senior Management team of the Ministry of Health</c:v>
                </c:pt>
                <c:pt idx="2">
                  <c:v>Availability of HRH units at the sub-national level (regional/state/provincial)</c:v>
                </c:pt>
              </c:strCache>
            </c:strRef>
          </c:cat>
          <c:val>
            <c:numRef>
              <c:f>Graphs!$D$5:$D$17</c:f>
            </c:numRef>
          </c:val>
          <c:extLst>
            <c:ext xmlns:c16="http://schemas.microsoft.com/office/drawing/2014/chart" uri="{C3380CC4-5D6E-409C-BE32-E72D297353CC}">
              <c16:uniqueId val="{00000001-7DF9-7A4A-8687-6AF90EFFAFDB}"/>
            </c:ext>
          </c:extLst>
        </c:ser>
        <c:ser>
          <c:idx val="2"/>
          <c:order val="2"/>
          <c:tx>
            <c:strRef>
              <c:f>Graphs!$E$4</c:f>
              <c:strCache>
                <c:ptCount val="1"/>
                <c:pt idx="0">
                  <c:v>% Yes</c:v>
                </c:pt>
              </c:strCache>
            </c:strRef>
          </c:tx>
          <c:spPr>
            <a:solidFill>
              <a:schemeClr val="accent5"/>
            </a:solidFill>
            <a:ln>
              <a:noFill/>
            </a:ln>
            <a:effectLst/>
          </c:spPr>
          <c:invertIfNegative val="0"/>
          <c:dLbls>
            <c:spPr>
              <a:solidFill>
                <a:schemeClr val="accent5"/>
              </a:solidFill>
              <a:ln w="25400" cap="flat" cmpd="sng" algn="ctr">
                <a:solidFill>
                  <a:schemeClr val="lt1"/>
                </a:solidFill>
                <a:prstDash val="solid"/>
                <a:miter lim="800000"/>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dk1">
                          <a:lumMod val="35000"/>
                          <a:lumOff val="65000"/>
                        </a:schemeClr>
                      </a:solidFill>
                      <a:round/>
                    </a:ln>
                    <a:effectLst/>
                  </c:spPr>
                </c15:leaderLines>
              </c:ext>
            </c:extLst>
          </c:dLbls>
          <c:cat>
            <c:strRef>
              <c:f>Graphs!$B$5:$B$17</c:f>
              <c:strCache>
                <c:ptCount val="3"/>
                <c:pt idx="0">
                  <c:v>Availability of HRH department/Directorate in the MoH responsible for developing, implementing and monitoring HRH strategies</c:v>
                </c:pt>
                <c:pt idx="1">
                  <c:v>The head of the HRH unit being part of Senior Management team of the Ministry of Health</c:v>
                </c:pt>
                <c:pt idx="2">
                  <c:v>Availability of HRH units at the sub-national level (regional/state/provincial)</c:v>
                </c:pt>
              </c:strCache>
            </c:strRef>
          </c:cat>
          <c:val>
            <c:numRef>
              <c:f>Graphs!$E$5:$E$17</c:f>
              <c:numCache>
                <c:formatCode>0%</c:formatCode>
                <c:ptCount val="3"/>
                <c:pt idx="0">
                  <c:v>1</c:v>
                </c:pt>
                <c:pt idx="1">
                  <c:v>0.96875</c:v>
                </c:pt>
                <c:pt idx="2">
                  <c:v>0.77419354838709675</c:v>
                </c:pt>
              </c:numCache>
            </c:numRef>
          </c:val>
          <c:extLst>
            <c:ext xmlns:c16="http://schemas.microsoft.com/office/drawing/2014/chart" uri="{C3380CC4-5D6E-409C-BE32-E72D297353CC}">
              <c16:uniqueId val="{00000002-7DF9-7A4A-8687-6AF90EFFAFDB}"/>
            </c:ext>
          </c:extLst>
        </c:ser>
        <c:ser>
          <c:idx val="3"/>
          <c:order val="3"/>
          <c:tx>
            <c:strRef>
              <c:f>Graphs!$F$4</c:f>
              <c:strCache>
                <c:ptCount val="1"/>
                <c:pt idx="0">
                  <c:v>% No</c:v>
                </c:pt>
              </c:strCache>
            </c:strRef>
          </c:tx>
          <c:spPr>
            <a:solidFill>
              <a:schemeClr val="accent1">
                <a:lumMod val="60000"/>
              </a:schemeClr>
            </a:solidFill>
            <a:ln>
              <a:noFill/>
            </a:ln>
            <a:effectLst/>
          </c:spPr>
          <c:invertIfNegative val="0"/>
          <c:dLbls>
            <c:dLbl>
              <c:idx val="0"/>
              <c:delete val="1"/>
              <c:extLst>
                <c:ext xmlns:c15="http://schemas.microsoft.com/office/drawing/2012/chart" uri="{CE6537A1-D6FC-4f65-9D91-7224C49458BB}"/>
                <c:ext xmlns:c16="http://schemas.microsoft.com/office/drawing/2014/chart" uri="{C3380CC4-5D6E-409C-BE32-E72D297353CC}">
                  <c16:uniqueId val="{00000004-7DF9-7A4A-8687-6AF90EFFAFDB}"/>
                </c:ext>
              </c:extLst>
            </c:dLbl>
            <c:spPr>
              <a:solidFill>
                <a:schemeClr val="lt1"/>
              </a:solidFill>
              <a:ln w="19050" cap="flat" cmpd="sng" algn="ctr">
                <a:solidFill>
                  <a:schemeClr val="accent1"/>
                </a:solidFill>
                <a:prstDash val="solid"/>
                <a:miter lim="800000"/>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dk1">
                          <a:lumMod val="35000"/>
                          <a:lumOff val="65000"/>
                        </a:schemeClr>
                      </a:solidFill>
                      <a:round/>
                    </a:ln>
                    <a:effectLst/>
                  </c:spPr>
                </c15:leaderLines>
              </c:ext>
            </c:extLst>
          </c:dLbls>
          <c:cat>
            <c:strRef>
              <c:f>Graphs!$B$5:$B$17</c:f>
              <c:strCache>
                <c:ptCount val="3"/>
                <c:pt idx="0">
                  <c:v>Availability of HRH department/Directorate in the MoH responsible for developing, implementing and monitoring HRH strategies</c:v>
                </c:pt>
                <c:pt idx="1">
                  <c:v>The head of the HRH unit being part of Senior Management team of the Ministry of Health</c:v>
                </c:pt>
                <c:pt idx="2">
                  <c:v>Availability of HRH units at the sub-national level (regional/state/provincial)</c:v>
                </c:pt>
              </c:strCache>
            </c:strRef>
          </c:cat>
          <c:val>
            <c:numRef>
              <c:f>Graphs!$F$5:$F$17</c:f>
              <c:numCache>
                <c:formatCode>0%</c:formatCode>
                <c:ptCount val="3"/>
                <c:pt idx="0">
                  <c:v>0</c:v>
                </c:pt>
                <c:pt idx="1">
                  <c:v>3.125E-2</c:v>
                </c:pt>
                <c:pt idx="2">
                  <c:v>0.22580645161290322</c:v>
                </c:pt>
              </c:numCache>
            </c:numRef>
          </c:val>
          <c:extLst>
            <c:ext xmlns:c16="http://schemas.microsoft.com/office/drawing/2014/chart" uri="{C3380CC4-5D6E-409C-BE32-E72D297353CC}">
              <c16:uniqueId val="{00000003-7DF9-7A4A-8687-6AF90EFFAFDB}"/>
            </c:ext>
          </c:extLst>
        </c:ser>
        <c:dLbls>
          <c:dLblPos val="ctr"/>
          <c:showLegendKey val="0"/>
          <c:showVal val="1"/>
          <c:showCatName val="0"/>
          <c:showSerName val="0"/>
          <c:showPercent val="0"/>
          <c:showBubbleSize val="0"/>
        </c:dLbls>
        <c:gapWidth val="150"/>
        <c:overlap val="100"/>
        <c:axId val="1092579455"/>
        <c:axId val="1759504367"/>
      </c:barChart>
      <c:catAx>
        <c:axId val="1092579455"/>
        <c:scaling>
          <c:orientation val="minMax"/>
        </c:scaling>
        <c:delete val="0"/>
        <c:axPos val="l"/>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1600" b="0" i="0" u="none" strike="noStrike" kern="1200" cap="none" spc="0" normalizeH="0" baseline="0">
                <a:solidFill>
                  <a:schemeClr val="dk1">
                    <a:lumMod val="65000"/>
                    <a:lumOff val="35000"/>
                  </a:schemeClr>
                </a:solidFill>
                <a:latin typeface="+mn-lt"/>
                <a:ea typeface="+mn-ea"/>
                <a:cs typeface="+mn-cs"/>
              </a:defRPr>
            </a:pPr>
            <a:endParaRPr lang="en-KE"/>
          </a:p>
        </c:txPr>
        <c:crossAx val="1759504367"/>
        <c:crosses val="autoZero"/>
        <c:auto val="1"/>
        <c:lblAlgn val="ctr"/>
        <c:lblOffset val="100"/>
        <c:noMultiLvlLbl val="0"/>
      </c:catAx>
      <c:valAx>
        <c:axId val="1759504367"/>
        <c:scaling>
          <c:orientation val="minMax"/>
        </c:scaling>
        <c:delete val="0"/>
        <c:axPos val="b"/>
        <c:numFmt formatCode="0%"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KE"/>
          </a:p>
        </c:txPr>
        <c:crossAx val="1092579455"/>
        <c:crosses val="autoZero"/>
        <c:crossBetween val="between"/>
      </c:valAx>
      <c:spPr>
        <a:pattFill prst="ltDnDiag">
          <a:fgClr>
            <a:schemeClr val="dk1">
              <a:lumMod val="15000"/>
              <a:lumOff val="85000"/>
            </a:schemeClr>
          </a:fgClr>
          <a:bgClr>
            <a:schemeClr val="lt1"/>
          </a:bgClr>
        </a:patt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KE"/>
        </a:p>
      </c:txPr>
    </c:legend>
    <c:plotVisOnly val="1"/>
    <c:dispBlanksAs val="gap"/>
    <c:showDLblsOverMax val="0"/>
  </c:chart>
  <c:spPr>
    <a:solidFill>
      <a:schemeClr val="lt1"/>
    </a:solidFill>
    <a:ln w="28575" cap="flat" cmpd="sng" algn="ctr">
      <a:solidFill>
        <a:schemeClr val="tx1"/>
      </a:solidFill>
      <a:round/>
    </a:ln>
    <a:effectLst/>
  </c:spPr>
  <c:txPr>
    <a:bodyPr/>
    <a:lstStyle/>
    <a:p>
      <a:pPr>
        <a:defRPr/>
      </a:pPr>
      <a:endParaRPr lang="en-KE"/>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NHWA 4-02 Existence of central health workforce unit and its subfunctions (N = 29)</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KE"/>
        </a:p>
      </c:txPr>
    </c:title>
    <c:autoTitleDeleted val="0"/>
    <c:plotArea>
      <c:layout/>
      <c:barChart>
        <c:barDir val="bar"/>
        <c:grouping val="stacked"/>
        <c:varyColors val="0"/>
        <c:ser>
          <c:idx val="0"/>
          <c:order val="0"/>
          <c:tx>
            <c:strRef>
              <c:f>Graphs!$C$18</c:f>
              <c:strCache>
                <c:ptCount val="1"/>
                <c:pt idx="0">
                  <c:v>Yes</c:v>
                </c:pt>
              </c:strCache>
            </c:strRef>
          </c:tx>
          <c:spPr>
            <a:solidFill>
              <a:schemeClr val="accent1"/>
            </a:solidFill>
            <a:ln>
              <a:noFill/>
            </a:ln>
            <a:effectLst/>
          </c:spPr>
          <c:invertIfNegative val="0"/>
          <c:cat>
            <c:strRef>
              <c:f>Graphs!$B$19:$B$22</c:f>
              <c:strCache>
                <c:ptCount val="4"/>
                <c:pt idx="0">
                  <c:v>Existence of institutional mechanisms or bodies to coordinate an intersectoral health workforce agenda (N = 29)</c:v>
                </c:pt>
                <c:pt idx="1">
                  <c:v>Existence of mechanisms and models for health workforce planning (N = 29)</c:v>
                </c:pt>
                <c:pt idx="2">
                  <c:v>Existence of national education plans for the health workforce, aligned with the national health plan and the national health workforce strategy/plan (N = 29)</c:v>
                </c:pt>
                <c:pt idx="3">
                  <c:v>Existence of institutional models for assessing and monitoring staffing needs for health service delivery (N = 29)</c:v>
                </c:pt>
              </c:strCache>
            </c:strRef>
          </c:cat>
          <c:val>
            <c:numRef>
              <c:f>Graphs!$C$19:$C$22</c:f>
            </c:numRef>
          </c:val>
          <c:extLst>
            <c:ext xmlns:c16="http://schemas.microsoft.com/office/drawing/2014/chart" uri="{C3380CC4-5D6E-409C-BE32-E72D297353CC}">
              <c16:uniqueId val="{00000000-F0C7-F343-82B1-2EF5B2955FF0}"/>
            </c:ext>
          </c:extLst>
        </c:ser>
        <c:ser>
          <c:idx val="1"/>
          <c:order val="1"/>
          <c:tx>
            <c:strRef>
              <c:f>Graphs!$D$18</c:f>
              <c:strCache>
                <c:ptCount val="1"/>
                <c:pt idx="0">
                  <c:v>No</c:v>
                </c:pt>
              </c:strCache>
            </c:strRef>
          </c:tx>
          <c:spPr>
            <a:solidFill>
              <a:schemeClr val="accent3"/>
            </a:solidFill>
            <a:ln>
              <a:noFill/>
            </a:ln>
            <a:effectLst/>
          </c:spPr>
          <c:invertIfNegative val="0"/>
          <c:cat>
            <c:strRef>
              <c:f>Graphs!$B$19:$B$22</c:f>
              <c:strCache>
                <c:ptCount val="4"/>
                <c:pt idx="0">
                  <c:v>Existence of institutional mechanisms or bodies to coordinate an intersectoral health workforce agenda (N = 29)</c:v>
                </c:pt>
                <c:pt idx="1">
                  <c:v>Existence of mechanisms and models for health workforce planning (N = 29)</c:v>
                </c:pt>
                <c:pt idx="2">
                  <c:v>Existence of national education plans for the health workforce, aligned with the national health plan and the national health workforce strategy/plan (N = 29)</c:v>
                </c:pt>
                <c:pt idx="3">
                  <c:v>Existence of institutional models for assessing and monitoring staffing needs for health service delivery (N = 29)</c:v>
                </c:pt>
              </c:strCache>
            </c:strRef>
          </c:cat>
          <c:val>
            <c:numRef>
              <c:f>Graphs!$D$19:$D$22</c:f>
            </c:numRef>
          </c:val>
          <c:extLst>
            <c:ext xmlns:c16="http://schemas.microsoft.com/office/drawing/2014/chart" uri="{C3380CC4-5D6E-409C-BE32-E72D297353CC}">
              <c16:uniqueId val="{00000001-F0C7-F343-82B1-2EF5B2955FF0}"/>
            </c:ext>
          </c:extLst>
        </c:ser>
        <c:ser>
          <c:idx val="2"/>
          <c:order val="2"/>
          <c:tx>
            <c:strRef>
              <c:f>Graphs!$E$18</c:f>
              <c:strCache>
                <c:ptCount val="1"/>
                <c:pt idx="0">
                  <c:v>% Yes</c:v>
                </c:pt>
              </c:strCache>
            </c:strRef>
          </c:tx>
          <c:spPr>
            <a:solidFill>
              <a:schemeClr val="accent5"/>
            </a:solidFill>
            <a:ln>
              <a:noFill/>
            </a:ln>
            <a:effectLst/>
          </c:spPr>
          <c:invertIfNegative val="0"/>
          <c:dLbls>
            <c:spPr>
              <a:solidFill>
                <a:schemeClr val="lt1"/>
              </a:solidFill>
              <a:ln w="19050" cap="flat" cmpd="sng" algn="ctr">
                <a:solidFill>
                  <a:schemeClr val="dk1"/>
                </a:solidFill>
                <a:prstDash val="solid"/>
                <a:miter lim="800000"/>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KE"/>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Graphs!$B$19:$B$22</c:f>
              <c:strCache>
                <c:ptCount val="4"/>
                <c:pt idx="0">
                  <c:v>Existence of institutional mechanisms or bodies to coordinate an intersectoral health workforce agenda (N = 29)</c:v>
                </c:pt>
                <c:pt idx="1">
                  <c:v>Existence of mechanisms and models for health workforce planning (N = 29)</c:v>
                </c:pt>
                <c:pt idx="2">
                  <c:v>Existence of national education plans for the health workforce, aligned with the national health plan and the national health workforce strategy/plan (N = 29)</c:v>
                </c:pt>
                <c:pt idx="3">
                  <c:v>Existence of institutional models for assessing and monitoring staffing needs for health service delivery (N = 29)</c:v>
                </c:pt>
              </c:strCache>
            </c:strRef>
          </c:cat>
          <c:val>
            <c:numRef>
              <c:f>Graphs!$E$19:$E$22</c:f>
              <c:numCache>
                <c:formatCode>0%</c:formatCode>
                <c:ptCount val="4"/>
                <c:pt idx="0">
                  <c:v>0.75862068965517238</c:v>
                </c:pt>
                <c:pt idx="1">
                  <c:v>0.82758620689655171</c:v>
                </c:pt>
                <c:pt idx="2">
                  <c:v>0.75862068965517238</c:v>
                </c:pt>
                <c:pt idx="3">
                  <c:v>0.62068965517241381</c:v>
                </c:pt>
              </c:numCache>
            </c:numRef>
          </c:val>
          <c:extLst>
            <c:ext xmlns:c16="http://schemas.microsoft.com/office/drawing/2014/chart" uri="{C3380CC4-5D6E-409C-BE32-E72D297353CC}">
              <c16:uniqueId val="{00000002-F0C7-F343-82B1-2EF5B2955FF0}"/>
            </c:ext>
          </c:extLst>
        </c:ser>
        <c:ser>
          <c:idx val="3"/>
          <c:order val="3"/>
          <c:tx>
            <c:strRef>
              <c:f>Graphs!$F$18</c:f>
              <c:strCache>
                <c:ptCount val="1"/>
                <c:pt idx="0">
                  <c:v>% No</c:v>
                </c:pt>
              </c:strCache>
            </c:strRef>
          </c:tx>
          <c:spPr>
            <a:solidFill>
              <a:schemeClr val="accent1">
                <a:lumMod val="60000"/>
              </a:schemeClr>
            </a:solidFill>
            <a:ln>
              <a:noFill/>
            </a:ln>
            <a:effectLst/>
          </c:spPr>
          <c:invertIfNegative val="0"/>
          <c:dLbls>
            <c:spPr>
              <a:solidFill>
                <a:schemeClr val="lt1"/>
              </a:solidFill>
              <a:ln w="19050" cap="flat" cmpd="sng" algn="ctr">
                <a:solidFill>
                  <a:schemeClr val="dk1"/>
                </a:solidFill>
                <a:prstDash val="solid"/>
                <a:miter lim="800000"/>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KE"/>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Graphs!$B$19:$B$22</c:f>
              <c:strCache>
                <c:ptCount val="4"/>
                <c:pt idx="0">
                  <c:v>Existence of institutional mechanisms or bodies to coordinate an intersectoral health workforce agenda (N = 29)</c:v>
                </c:pt>
                <c:pt idx="1">
                  <c:v>Existence of mechanisms and models for health workforce planning (N = 29)</c:v>
                </c:pt>
                <c:pt idx="2">
                  <c:v>Existence of national education plans for the health workforce, aligned with the national health plan and the national health workforce strategy/plan (N = 29)</c:v>
                </c:pt>
                <c:pt idx="3">
                  <c:v>Existence of institutional models for assessing and monitoring staffing needs for health service delivery (N = 29)</c:v>
                </c:pt>
              </c:strCache>
            </c:strRef>
          </c:cat>
          <c:val>
            <c:numRef>
              <c:f>Graphs!$F$19:$F$22</c:f>
              <c:numCache>
                <c:formatCode>0%</c:formatCode>
                <c:ptCount val="4"/>
                <c:pt idx="0">
                  <c:v>0.2413793103448276</c:v>
                </c:pt>
                <c:pt idx="1">
                  <c:v>0.17241379310344829</c:v>
                </c:pt>
                <c:pt idx="2">
                  <c:v>0.2413793103448276</c:v>
                </c:pt>
                <c:pt idx="3">
                  <c:v>0.37931034482758619</c:v>
                </c:pt>
              </c:numCache>
            </c:numRef>
          </c:val>
          <c:extLst>
            <c:ext xmlns:c16="http://schemas.microsoft.com/office/drawing/2014/chart" uri="{C3380CC4-5D6E-409C-BE32-E72D297353CC}">
              <c16:uniqueId val="{00000003-F0C7-F343-82B1-2EF5B2955FF0}"/>
            </c:ext>
          </c:extLst>
        </c:ser>
        <c:dLbls>
          <c:showLegendKey val="0"/>
          <c:showVal val="0"/>
          <c:showCatName val="0"/>
          <c:showSerName val="0"/>
          <c:showPercent val="0"/>
          <c:showBubbleSize val="0"/>
        </c:dLbls>
        <c:gapWidth val="150"/>
        <c:overlap val="100"/>
        <c:axId val="767849696"/>
        <c:axId val="768489056"/>
      </c:barChart>
      <c:catAx>
        <c:axId val="76784969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600" b="0" i="0" u="none" strike="noStrike" kern="1200" baseline="0">
                <a:solidFill>
                  <a:schemeClr val="tx1">
                    <a:lumMod val="65000"/>
                    <a:lumOff val="35000"/>
                  </a:schemeClr>
                </a:solidFill>
                <a:latin typeface="+mn-lt"/>
                <a:ea typeface="+mn-ea"/>
                <a:cs typeface="+mn-cs"/>
              </a:defRPr>
            </a:pPr>
            <a:endParaRPr lang="en-KE"/>
          </a:p>
        </c:txPr>
        <c:crossAx val="768489056"/>
        <c:crosses val="autoZero"/>
        <c:auto val="1"/>
        <c:lblAlgn val="ctr"/>
        <c:lblOffset val="100"/>
        <c:noMultiLvlLbl val="0"/>
      </c:catAx>
      <c:valAx>
        <c:axId val="768489056"/>
        <c:scaling>
          <c:orientation val="minMax"/>
        </c:scaling>
        <c:delete val="0"/>
        <c:axPos val="b"/>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76784969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chart>
  <c:spPr>
    <a:solidFill>
      <a:schemeClr val="bg1"/>
    </a:solidFill>
    <a:ln w="28575" cap="flat" cmpd="sng" algn="ctr">
      <a:solidFill>
        <a:schemeClr val="tx1"/>
      </a:solidFill>
      <a:round/>
    </a:ln>
    <a:effectLst/>
  </c:spPr>
  <c:txPr>
    <a:bodyPr/>
    <a:lstStyle/>
    <a:p>
      <a:pPr>
        <a:defRPr/>
      </a:pPr>
      <a:endParaRPr lang="en-KE"/>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NHWA 4-01 Regulation on working conditions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KE"/>
        </a:p>
      </c:txPr>
    </c:title>
    <c:autoTitleDeleted val="0"/>
    <c:plotArea>
      <c:layout>
        <c:manualLayout>
          <c:layoutTarget val="inner"/>
          <c:xMode val="edge"/>
          <c:yMode val="edge"/>
          <c:x val="0.47566562828432907"/>
          <c:y val="7.9053851386883311E-2"/>
          <c:w val="0.5032294423033592"/>
          <c:h val="0.82290245364368964"/>
        </c:manualLayout>
      </c:layout>
      <c:barChart>
        <c:barDir val="bar"/>
        <c:grouping val="stacked"/>
        <c:varyColors val="0"/>
        <c:ser>
          <c:idx val="0"/>
          <c:order val="0"/>
          <c:tx>
            <c:strRef>
              <c:f>Graphs!$C$23</c:f>
              <c:strCache>
                <c:ptCount val="1"/>
                <c:pt idx="0">
                  <c:v>Yes</c:v>
                </c:pt>
              </c:strCache>
            </c:strRef>
          </c:tx>
          <c:spPr>
            <a:solidFill>
              <a:schemeClr val="accent1"/>
            </a:solidFill>
            <a:ln>
              <a:noFill/>
            </a:ln>
            <a:effectLst/>
          </c:spPr>
          <c:invertIfNegative val="0"/>
          <c:cat>
            <c:strRef>
              <c:f>Graphs!$B$24:$B$27</c:f>
              <c:strCache>
                <c:ptCount val="4"/>
                <c:pt idx="0">
                  <c:v>Existence of national/subnational policies/laws regulating minimum wage (N = 29)</c:v>
                </c:pt>
                <c:pt idx="1">
                  <c:v>Existence of national/subnational policies/laws regulating social protection (N = 29)</c:v>
                </c:pt>
                <c:pt idx="2">
                  <c:v>Existence of national/subnational policies/laws regulating dual practice (N = 28)</c:v>
                </c:pt>
                <c:pt idx="3">
                  <c:v>Existence of national/subnational policies/laws regulating compulsory service (N = 28)</c:v>
                </c:pt>
              </c:strCache>
            </c:strRef>
          </c:cat>
          <c:val>
            <c:numRef>
              <c:f>Graphs!$C$24:$C$27</c:f>
            </c:numRef>
          </c:val>
          <c:extLst>
            <c:ext xmlns:c16="http://schemas.microsoft.com/office/drawing/2014/chart" uri="{C3380CC4-5D6E-409C-BE32-E72D297353CC}">
              <c16:uniqueId val="{00000000-3C73-2F42-96E6-B2A2DEEBAF13}"/>
            </c:ext>
          </c:extLst>
        </c:ser>
        <c:ser>
          <c:idx val="1"/>
          <c:order val="1"/>
          <c:tx>
            <c:strRef>
              <c:f>Graphs!$D$23</c:f>
              <c:strCache>
                <c:ptCount val="1"/>
                <c:pt idx="0">
                  <c:v>No</c:v>
                </c:pt>
              </c:strCache>
            </c:strRef>
          </c:tx>
          <c:spPr>
            <a:solidFill>
              <a:schemeClr val="accent2"/>
            </a:solidFill>
            <a:ln>
              <a:noFill/>
            </a:ln>
            <a:effectLst/>
          </c:spPr>
          <c:invertIfNegative val="0"/>
          <c:cat>
            <c:strRef>
              <c:f>Graphs!$B$24:$B$27</c:f>
              <c:strCache>
                <c:ptCount val="4"/>
                <c:pt idx="0">
                  <c:v>Existence of national/subnational policies/laws regulating minimum wage (N = 29)</c:v>
                </c:pt>
                <c:pt idx="1">
                  <c:v>Existence of national/subnational policies/laws regulating social protection (N = 29)</c:v>
                </c:pt>
                <c:pt idx="2">
                  <c:v>Existence of national/subnational policies/laws regulating dual practice (N = 28)</c:v>
                </c:pt>
                <c:pt idx="3">
                  <c:v>Existence of national/subnational policies/laws regulating compulsory service (N = 28)</c:v>
                </c:pt>
              </c:strCache>
            </c:strRef>
          </c:cat>
          <c:val>
            <c:numRef>
              <c:f>Graphs!$D$24:$D$27</c:f>
            </c:numRef>
          </c:val>
          <c:extLst>
            <c:ext xmlns:c16="http://schemas.microsoft.com/office/drawing/2014/chart" uri="{C3380CC4-5D6E-409C-BE32-E72D297353CC}">
              <c16:uniqueId val="{00000001-3C73-2F42-96E6-B2A2DEEBAF13}"/>
            </c:ext>
          </c:extLst>
        </c:ser>
        <c:ser>
          <c:idx val="2"/>
          <c:order val="2"/>
          <c:tx>
            <c:strRef>
              <c:f>Graphs!$E$23</c:f>
              <c:strCache>
                <c:ptCount val="1"/>
                <c:pt idx="0">
                  <c:v>% Yes</c:v>
                </c:pt>
              </c:strCache>
            </c:strRef>
          </c:tx>
          <c:spPr>
            <a:solidFill>
              <a:schemeClr val="accent3"/>
            </a:solidFill>
            <a:ln>
              <a:noFill/>
            </a:ln>
            <a:effectLst/>
          </c:spPr>
          <c:invertIfNegative val="0"/>
          <c:dLbls>
            <c:spPr>
              <a:solidFill>
                <a:schemeClr val="lt1"/>
              </a:solidFill>
              <a:ln w="19050" cap="flat" cmpd="sng" algn="ctr">
                <a:solidFill>
                  <a:schemeClr val="dk1"/>
                </a:solidFill>
                <a:prstDash val="solid"/>
                <a:miter lim="800000"/>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KE"/>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Graphs!$B$24:$B$27</c:f>
              <c:strCache>
                <c:ptCount val="4"/>
                <c:pt idx="0">
                  <c:v>Existence of national/subnational policies/laws regulating minimum wage (N = 29)</c:v>
                </c:pt>
                <c:pt idx="1">
                  <c:v>Existence of national/subnational policies/laws regulating social protection (N = 29)</c:v>
                </c:pt>
                <c:pt idx="2">
                  <c:v>Existence of national/subnational policies/laws regulating dual practice (N = 28)</c:v>
                </c:pt>
                <c:pt idx="3">
                  <c:v>Existence of national/subnational policies/laws regulating compulsory service (N = 28)</c:v>
                </c:pt>
              </c:strCache>
            </c:strRef>
          </c:cat>
          <c:val>
            <c:numRef>
              <c:f>Graphs!$E$24:$E$27</c:f>
              <c:numCache>
                <c:formatCode>0%</c:formatCode>
                <c:ptCount val="4"/>
                <c:pt idx="0">
                  <c:v>0.96551724137931039</c:v>
                </c:pt>
                <c:pt idx="1">
                  <c:v>0.86206896551724133</c:v>
                </c:pt>
                <c:pt idx="2">
                  <c:v>0.5357142857142857</c:v>
                </c:pt>
                <c:pt idx="3">
                  <c:v>0.6428571428571429</c:v>
                </c:pt>
              </c:numCache>
            </c:numRef>
          </c:val>
          <c:extLst>
            <c:ext xmlns:c16="http://schemas.microsoft.com/office/drawing/2014/chart" uri="{C3380CC4-5D6E-409C-BE32-E72D297353CC}">
              <c16:uniqueId val="{00000002-3C73-2F42-96E6-B2A2DEEBAF13}"/>
            </c:ext>
          </c:extLst>
        </c:ser>
        <c:ser>
          <c:idx val="3"/>
          <c:order val="3"/>
          <c:tx>
            <c:strRef>
              <c:f>Graphs!$F$23</c:f>
              <c:strCache>
                <c:ptCount val="1"/>
                <c:pt idx="0">
                  <c:v>% No</c:v>
                </c:pt>
              </c:strCache>
            </c:strRef>
          </c:tx>
          <c:spPr>
            <a:solidFill>
              <a:schemeClr val="accent4"/>
            </a:solidFill>
            <a:ln>
              <a:noFill/>
            </a:ln>
            <a:effectLst/>
          </c:spPr>
          <c:invertIfNegative val="0"/>
          <c:dLbls>
            <c:spPr>
              <a:solidFill>
                <a:schemeClr val="lt1"/>
              </a:solidFill>
              <a:ln w="19050" cap="flat" cmpd="sng" algn="ctr">
                <a:solidFill>
                  <a:schemeClr val="dk1"/>
                </a:solidFill>
                <a:prstDash val="solid"/>
                <a:miter lim="800000"/>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KE"/>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Graphs!$B$24:$B$27</c:f>
              <c:strCache>
                <c:ptCount val="4"/>
                <c:pt idx="0">
                  <c:v>Existence of national/subnational policies/laws regulating minimum wage (N = 29)</c:v>
                </c:pt>
                <c:pt idx="1">
                  <c:v>Existence of national/subnational policies/laws regulating social protection (N = 29)</c:v>
                </c:pt>
                <c:pt idx="2">
                  <c:v>Existence of national/subnational policies/laws regulating dual practice (N = 28)</c:v>
                </c:pt>
                <c:pt idx="3">
                  <c:v>Existence of national/subnational policies/laws regulating compulsory service (N = 28)</c:v>
                </c:pt>
              </c:strCache>
            </c:strRef>
          </c:cat>
          <c:val>
            <c:numRef>
              <c:f>Graphs!$F$24:$F$27</c:f>
              <c:numCache>
                <c:formatCode>0%</c:formatCode>
                <c:ptCount val="4"/>
                <c:pt idx="0">
                  <c:v>3.4482758620689655E-2</c:v>
                </c:pt>
                <c:pt idx="1">
                  <c:v>0.13793103448275862</c:v>
                </c:pt>
                <c:pt idx="2">
                  <c:v>0.4642857142857143</c:v>
                </c:pt>
                <c:pt idx="3">
                  <c:v>0.35714285714285715</c:v>
                </c:pt>
              </c:numCache>
            </c:numRef>
          </c:val>
          <c:extLst>
            <c:ext xmlns:c16="http://schemas.microsoft.com/office/drawing/2014/chart" uri="{C3380CC4-5D6E-409C-BE32-E72D297353CC}">
              <c16:uniqueId val="{00000003-3C73-2F42-96E6-B2A2DEEBAF13}"/>
            </c:ext>
          </c:extLst>
        </c:ser>
        <c:dLbls>
          <c:showLegendKey val="0"/>
          <c:showVal val="0"/>
          <c:showCatName val="0"/>
          <c:showSerName val="0"/>
          <c:showPercent val="0"/>
          <c:showBubbleSize val="0"/>
        </c:dLbls>
        <c:gapWidth val="150"/>
        <c:overlap val="100"/>
        <c:axId val="1873165263"/>
        <c:axId val="1873166975"/>
      </c:barChart>
      <c:catAx>
        <c:axId val="187316526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2000" b="0" i="0" u="none" strike="noStrike" kern="1200" baseline="0">
                <a:solidFill>
                  <a:schemeClr val="tx1">
                    <a:lumMod val="65000"/>
                    <a:lumOff val="35000"/>
                  </a:schemeClr>
                </a:solidFill>
                <a:latin typeface="+mn-lt"/>
                <a:ea typeface="+mn-ea"/>
                <a:cs typeface="+mn-cs"/>
              </a:defRPr>
            </a:pPr>
            <a:endParaRPr lang="en-KE"/>
          </a:p>
        </c:txPr>
        <c:crossAx val="1873166975"/>
        <c:crosses val="autoZero"/>
        <c:auto val="1"/>
        <c:lblAlgn val="ctr"/>
        <c:lblOffset val="100"/>
        <c:noMultiLvlLbl val="0"/>
      </c:catAx>
      <c:valAx>
        <c:axId val="1873166975"/>
        <c:scaling>
          <c:orientation val="minMax"/>
        </c:scaling>
        <c:delete val="0"/>
        <c:axPos val="b"/>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87316526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chart>
  <c:spPr>
    <a:solidFill>
      <a:schemeClr val="bg1"/>
    </a:solidFill>
    <a:ln w="28575" cap="flat" cmpd="sng" algn="ctr">
      <a:solidFill>
        <a:schemeClr val="tx1"/>
      </a:solidFill>
      <a:round/>
    </a:ln>
    <a:effectLst/>
  </c:spPr>
  <c:txPr>
    <a:bodyPr/>
    <a:lstStyle/>
    <a:p>
      <a:pPr>
        <a:defRPr/>
      </a:pPr>
      <a:endParaRPr lang="en-KE"/>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AFR-04 HRH policy, Strategy and plan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KE"/>
        </a:p>
      </c:txPr>
    </c:title>
    <c:autoTitleDeleted val="0"/>
    <c:plotArea>
      <c:layout/>
      <c:barChart>
        <c:barDir val="bar"/>
        <c:grouping val="stacked"/>
        <c:varyColors val="0"/>
        <c:ser>
          <c:idx val="0"/>
          <c:order val="0"/>
          <c:tx>
            <c:strRef>
              <c:f>Graphs!$C$28</c:f>
              <c:strCache>
                <c:ptCount val="1"/>
                <c:pt idx="0">
                  <c:v>Yes</c:v>
                </c:pt>
              </c:strCache>
            </c:strRef>
          </c:tx>
          <c:spPr>
            <a:solidFill>
              <a:schemeClr val="accent1"/>
            </a:solidFill>
            <a:ln>
              <a:noFill/>
            </a:ln>
            <a:effectLst/>
          </c:spPr>
          <c:invertIfNegative val="0"/>
          <c:cat>
            <c:strRef>
              <c:f>(Graphs!$B$29:$B$34,Graphs!$B$41)</c:f>
              <c:strCache>
                <c:ptCount val="3"/>
                <c:pt idx="0">
                  <c:v>Availability of a national policy for HRH (N=30)</c:v>
                </c:pt>
                <c:pt idx="1">
                  <c:v>Availability of a national strategic/investment plan for HRH (N = 35)</c:v>
                </c:pt>
                <c:pt idx="2">
                  <c:v>A commitment to increase allocation from national resources to to implement HRH strategy/Investment Plan (N = 26)</c:v>
                </c:pt>
              </c:strCache>
            </c:strRef>
          </c:cat>
          <c:val>
            <c:numRef>
              <c:f>(Graphs!$C$29:$C$34,Graphs!$C$41)</c:f>
            </c:numRef>
          </c:val>
          <c:extLst>
            <c:ext xmlns:c16="http://schemas.microsoft.com/office/drawing/2014/chart" uri="{C3380CC4-5D6E-409C-BE32-E72D297353CC}">
              <c16:uniqueId val="{00000000-DD62-D741-A1D2-8D9AD018CF5F}"/>
            </c:ext>
          </c:extLst>
        </c:ser>
        <c:ser>
          <c:idx val="1"/>
          <c:order val="1"/>
          <c:tx>
            <c:strRef>
              <c:f>Graphs!$D$28</c:f>
              <c:strCache>
                <c:ptCount val="1"/>
                <c:pt idx="0">
                  <c:v>No</c:v>
                </c:pt>
              </c:strCache>
            </c:strRef>
          </c:tx>
          <c:spPr>
            <a:solidFill>
              <a:schemeClr val="accent2"/>
            </a:solidFill>
            <a:ln>
              <a:noFill/>
            </a:ln>
            <a:effectLst/>
          </c:spPr>
          <c:invertIfNegative val="0"/>
          <c:cat>
            <c:strRef>
              <c:f>(Graphs!$B$29:$B$34,Graphs!$B$41)</c:f>
              <c:strCache>
                <c:ptCount val="3"/>
                <c:pt idx="0">
                  <c:v>Availability of a national policy for HRH (N=30)</c:v>
                </c:pt>
                <c:pt idx="1">
                  <c:v>Availability of a national strategic/investment plan for HRH (N = 35)</c:v>
                </c:pt>
                <c:pt idx="2">
                  <c:v>A commitment to increase allocation from national resources to to implement HRH strategy/Investment Plan (N = 26)</c:v>
                </c:pt>
              </c:strCache>
            </c:strRef>
          </c:cat>
          <c:val>
            <c:numRef>
              <c:f>(Graphs!$D$29:$D$34,Graphs!$D$41)</c:f>
            </c:numRef>
          </c:val>
          <c:extLst>
            <c:ext xmlns:c16="http://schemas.microsoft.com/office/drawing/2014/chart" uri="{C3380CC4-5D6E-409C-BE32-E72D297353CC}">
              <c16:uniqueId val="{00000001-DD62-D741-A1D2-8D9AD018CF5F}"/>
            </c:ext>
          </c:extLst>
        </c:ser>
        <c:ser>
          <c:idx val="2"/>
          <c:order val="2"/>
          <c:tx>
            <c:strRef>
              <c:f>Graphs!$E$28</c:f>
              <c:strCache>
                <c:ptCount val="1"/>
                <c:pt idx="0">
                  <c:v>% Yes</c:v>
                </c:pt>
              </c:strCache>
            </c:strRef>
          </c:tx>
          <c:spPr>
            <a:solidFill>
              <a:schemeClr val="accent3"/>
            </a:solidFill>
            <a:ln>
              <a:noFill/>
            </a:ln>
            <a:effectLst/>
          </c:spPr>
          <c:invertIfNegative val="0"/>
          <c:dLbls>
            <c:spPr>
              <a:solidFill>
                <a:schemeClr val="lt1"/>
              </a:solidFill>
              <a:ln w="19050" cap="flat" cmpd="sng" algn="ctr">
                <a:solidFill>
                  <a:schemeClr val="dk1"/>
                </a:solidFill>
                <a:prstDash val="solid"/>
                <a:miter lim="800000"/>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KE"/>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(Graphs!$B$29:$B$34,Graphs!$B$41)</c:f>
              <c:strCache>
                <c:ptCount val="3"/>
                <c:pt idx="0">
                  <c:v>Availability of a national policy for HRH (N=30)</c:v>
                </c:pt>
                <c:pt idx="1">
                  <c:v>Availability of a national strategic/investment plan for HRH (N = 35)</c:v>
                </c:pt>
                <c:pt idx="2">
                  <c:v>A commitment to increase allocation from national resources to to implement HRH strategy/Investment Plan (N = 26)</c:v>
                </c:pt>
              </c:strCache>
            </c:strRef>
          </c:cat>
          <c:val>
            <c:numRef>
              <c:f>(Graphs!$E$29:$E$34,Graphs!$E$41)</c:f>
              <c:numCache>
                <c:formatCode>0%</c:formatCode>
                <c:ptCount val="3"/>
                <c:pt idx="0">
                  <c:v>0.8</c:v>
                </c:pt>
                <c:pt idx="1">
                  <c:v>0.62857142857142856</c:v>
                </c:pt>
                <c:pt idx="2">
                  <c:v>0.5</c:v>
                </c:pt>
              </c:numCache>
            </c:numRef>
          </c:val>
          <c:extLst>
            <c:ext xmlns:c16="http://schemas.microsoft.com/office/drawing/2014/chart" uri="{C3380CC4-5D6E-409C-BE32-E72D297353CC}">
              <c16:uniqueId val="{00000002-DD62-D741-A1D2-8D9AD018CF5F}"/>
            </c:ext>
          </c:extLst>
        </c:ser>
        <c:ser>
          <c:idx val="3"/>
          <c:order val="3"/>
          <c:tx>
            <c:strRef>
              <c:f>Graphs!$F$28</c:f>
              <c:strCache>
                <c:ptCount val="1"/>
                <c:pt idx="0">
                  <c:v>% No</c:v>
                </c:pt>
              </c:strCache>
            </c:strRef>
          </c:tx>
          <c:spPr>
            <a:solidFill>
              <a:schemeClr val="accent4"/>
            </a:solidFill>
            <a:ln>
              <a:noFill/>
            </a:ln>
            <a:effectLst/>
          </c:spPr>
          <c:invertIfNegative val="0"/>
          <c:dLbls>
            <c:spPr>
              <a:solidFill>
                <a:schemeClr val="lt1"/>
              </a:solidFill>
              <a:ln w="19050" cap="flat" cmpd="sng" algn="ctr">
                <a:solidFill>
                  <a:schemeClr val="dk1"/>
                </a:solidFill>
                <a:prstDash val="solid"/>
                <a:miter lim="800000"/>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KE"/>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(Graphs!$B$29:$B$34,Graphs!$B$41)</c:f>
              <c:strCache>
                <c:ptCount val="3"/>
                <c:pt idx="0">
                  <c:v>Availability of a national policy for HRH (N=30)</c:v>
                </c:pt>
                <c:pt idx="1">
                  <c:v>Availability of a national strategic/investment plan for HRH (N = 35)</c:v>
                </c:pt>
                <c:pt idx="2">
                  <c:v>A commitment to increase allocation from national resources to to implement HRH strategy/Investment Plan (N = 26)</c:v>
                </c:pt>
              </c:strCache>
            </c:strRef>
          </c:cat>
          <c:val>
            <c:numRef>
              <c:f>(Graphs!$F$29:$F$34,Graphs!$F$41)</c:f>
              <c:numCache>
                <c:formatCode>0%</c:formatCode>
                <c:ptCount val="3"/>
                <c:pt idx="0">
                  <c:v>0.2</c:v>
                </c:pt>
                <c:pt idx="1">
                  <c:v>0.37142857142857144</c:v>
                </c:pt>
                <c:pt idx="2">
                  <c:v>0.5</c:v>
                </c:pt>
              </c:numCache>
            </c:numRef>
          </c:val>
          <c:extLst>
            <c:ext xmlns:c16="http://schemas.microsoft.com/office/drawing/2014/chart" uri="{C3380CC4-5D6E-409C-BE32-E72D297353CC}">
              <c16:uniqueId val="{00000003-DD62-D741-A1D2-8D9AD018CF5F}"/>
            </c:ext>
          </c:extLst>
        </c:ser>
        <c:dLbls>
          <c:showLegendKey val="0"/>
          <c:showVal val="0"/>
          <c:showCatName val="0"/>
          <c:showSerName val="0"/>
          <c:showPercent val="0"/>
          <c:showBubbleSize val="0"/>
        </c:dLbls>
        <c:gapWidth val="150"/>
        <c:overlap val="100"/>
        <c:axId val="1611273008"/>
        <c:axId val="1763723263"/>
      </c:barChart>
      <c:catAx>
        <c:axId val="161127300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2000" b="0" i="0" u="none" strike="noStrike" kern="1200" baseline="0">
                <a:solidFill>
                  <a:schemeClr val="tx1">
                    <a:lumMod val="65000"/>
                    <a:lumOff val="35000"/>
                  </a:schemeClr>
                </a:solidFill>
                <a:latin typeface="+mn-lt"/>
                <a:ea typeface="+mn-ea"/>
                <a:cs typeface="+mn-cs"/>
              </a:defRPr>
            </a:pPr>
            <a:endParaRPr lang="en-KE"/>
          </a:p>
        </c:txPr>
        <c:crossAx val="1763723263"/>
        <c:crosses val="autoZero"/>
        <c:auto val="1"/>
        <c:lblAlgn val="ctr"/>
        <c:lblOffset val="100"/>
        <c:noMultiLvlLbl val="0"/>
      </c:catAx>
      <c:valAx>
        <c:axId val="1763723263"/>
        <c:scaling>
          <c:orientation val="minMax"/>
        </c:scaling>
        <c:delete val="0"/>
        <c:axPos val="b"/>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61127300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chart>
  <c:spPr>
    <a:solidFill>
      <a:schemeClr val="bg1"/>
    </a:solidFill>
    <a:ln w="28575" cap="flat" cmpd="sng" algn="ctr">
      <a:solidFill>
        <a:schemeClr val="tx1"/>
      </a:solidFill>
      <a:round/>
    </a:ln>
    <a:effectLst/>
  </c:spPr>
  <c:txPr>
    <a:bodyPr/>
    <a:lstStyle/>
    <a:p>
      <a:pPr>
        <a:defRPr/>
      </a:pPr>
      <a:endParaRPr lang="en-KE"/>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Quality of</a:t>
            </a:r>
            <a:r>
              <a:rPr lang="en-GB" baseline="0"/>
              <a:t> HWF Strategic Plans</a:t>
            </a:r>
            <a:endParaRPr lang="en-GB"/>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KE"/>
        </a:p>
      </c:txPr>
    </c:title>
    <c:autoTitleDeleted val="0"/>
    <c:plotArea>
      <c:layout/>
      <c:barChart>
        <c:barDir val="bar"/>
        <c:grouping val="stacked"/>
        <c:varyColors val="0"/>
        <c:ser>
          <c:idx val="0"/>
          <c:order val="0"/>
          <c:tx>
            <c:strRef>
              <c:f>Graphs!$C$53</c:f>
              <c:strCache>
                <c:ptCount val="1"/>
                <c:pt idx="0">
                  <c:v>Yes</c:v>
                </c:pt>
              </c:strCache>
            </c:strRef>
          </c:tx>
          <c:spPr>
            <a:solidFill>
              <a:schemeClr val="accent1"/>
            </a:solidFill>
            <a:ln>
              <a:noFill/>
            </a:ln>
            <a:effectLst/>
          </c:spPr>
          <c:invertIfNegative val="0"/>
          <c:cat>
            <c:strRef>
              <c:f>Graphs!$B$54:$B$57</c:f>
              <c:strCache>
                <c:ptCount val="4"/>
                <c:pt idx="0">
                  <c:v>HRH strategic plan is costed (N = 25)</c:v>
                </c:pt>
                <c:pt idx="1">
                  <c:v>HRH strategic plan has projections of the HRH needs/demand (N = 25)</c:v>
                </c:pt>
                <c:pt idx="2">
                  <c:v>HRH strategic plan projections cover the public and private sectors (N = 24)</c:v>
                </c:pt>
                <c:pt idx="3">
                  <c:v>Country ever conducted a health workforce labour market study (N = 27) </c:v>
                </c:pt>
              </c:strCache>
            </c:strRef>
          </c:cat>
          <c:val>
            <c:numRef>
              <c:f>Graphs!$C$54:$C$57</c:f>
            </c:numRef>
          </c:val>
          <c:extLst>
            <c:ext xmlns:c16="http://schemas.microsoft.com/office/drawing/2014/chart" uri="{C3380CC4-5D6E-409C-BE32-E72D297353CC}">
              <c16:uniqueId val="{00000000-37FB-E041-930A-B0277D2B3986}"/>
            </c:ext>
          </c:extLst>
        </c:ser>
        <c:ser>
          <c:idx val="1"/>
          <c:order val="1"/>
          <c:tx>
            <c:strRef>
              <c:f>Graphs!$D$53</c:f>
              <c:strCache>
                <c:ptCount val="1"/>
                <c:pt idx="0">
                  <c:v>No</c:v>
                </c:pt>
              </c:strCache>
            </c:strRef>
          </c:tx>
          <c:spPr>
            <a:solidFill>
              <a:schemeClr val="accent2"/>
            </a:solidFill>
            <a:ln>
              <a:noFill/>
            </a:ln>
            <a:effectLst/>
          </c:spPr>
          <c:invertIfNegative val="0"/>
          <c:cat>
            <c:strRef>
              <c:f>Graphs!$B$54:$B$57</c:f>
              <c:strCache>
                <c:ptCount val="4"/>
                <c:pt idx="0">
                  <c:v>HRH strategic plan is costed (N = 25)</c:v>
                </c:pt>
                <c:pt idx="1">
                  <c:v>HRH strategic plan has projections of the HRH needs/demand (N = 25)</c:v>
                </c:pt>
                <c:pt idx="2">
                  <c:v>HRH strategic plan projections cover the public and private sectors (N = 24)</c:v>
                </c:pt>
                <c:pt idx="3">
                  <c:v>Country ever conducted a health workforce labour market study (N = 27) </c:v>
                </c:pt>
              </c:strCache>
            </c:strRef>
          </c:cat>
          <c:val>
            <c:numRef>
              <c:f>Graphs!$D$54:$D$57</c:f>
            </c:numRef>
          </c:val>
          <c:extLst>
            <c:ext xmlns:c16="http://schemas.microsoft.com/office/drawing/2014/chart" uri="{C3380CC4-5D6E-409C-BE32-E72D297353CC}">
              <c16:uniqueId val="{00000001-37FB-E041-930A-B0277D2B3986}"/>
            </c:ext>
          </c:extLst>
        </c:ser>
        <c:ser>
          <c:idx val="2"/>
          <c:order val="2"/>
          <c:tx>
            <c:strRef>
              <c:f>Graphs!$E$53</c:f>
              <c:strCache>
                <c:ptCount val="1"/>
                <c:pt idx="0">
                  <c:v>% Yes</c:v>
                </c:pt>
              </c:strCache>
            </c:strRef>
          </c:tx>
          <c:spPr>
            <a:solidFill>
              <a:schemeClr val="accent3"/>
            </a:solidFill>
            <a:ln>
              <a:noFill/>
            </a:ln>
            <a:effectLst/>
          </c:spPr>
          <c:invertIfNegative val="0"/>
          <c:dLbls>
            <c:spPr>
              <a:solidFill>
                <a:schemeClr val="lt1"/>
              </a:solidFill>
              <a:ln w="19050" cap="flat" cmpd="sng" algn="ctr">
                <a:solidFill>
                  <a:schemeClr val="dk1"/>
                </a:solidFill>
                <a:prstDash val="solid"/>
                <a:miter lim="800000"/>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KE"/>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Graphs!$B$54:$B$57</c:f>
              <c:strCache>
                <c:ptCount val="4"/>
                <c:pt idx="0">
                  <c:v>HRH strategic plan is costed (N = 25)</c:v>
                </c:pt>
                <c:pt idx="1">
                  <c:v>HRH strategic plan has projections of the HRH needs/demand (N = 25)</c:v>
                </c:pt>
                <c:pt idx="2">
                  <c:v>HRH strategic plan projections cover the public and private sectors (N = 24)</c:v>
                </c:pt>
                <c:pt idx="3">
                  <c:v>Country ever conducted a health workforce labour market study (N = 27) </c:v>
                </c:pt>
              </c:strCache>
            </c:strRef>
          </c:cat>
          <c:val>
            <c:numRef>
              <c:f>Graphs!$E$54:$E$57</c:f>
              <c:numCache>
                <c:formatCode>0%</c:formatCode>
                <c:ptCount val="4"/>
                <c:pt idx="0">
                  <c:v>0.8</c:v>
                </c:pt>
                <c:pt idx="1">
                  <c:v>0.92</c:v>
                </c:pt>
                <c:pt idx="2">
                  <c:v>0.16666666666666666</c:v>
                </c:pt>
                <c:pt idx="3">
                  <c:v>0.51851851851851849</c:v>
                </c:pt>
              </c:numCache>
            </c:numRef>
          </c:val>
          <c:extLst>
            <c:ext xmlns:c16="http://schemas.microsoft.com/office/drawing/2014/chart" uri="{C3380CC4-5D6E-409C-BE32-E72D297353CC}">
              <c16:uniqueId val="{00000002-37FB-E041-930A-B0277D2B3986}"/>
            </c:ext>
          </c:extLst>
        </c:ser>
        <c:ser>
          <c:idx val="3"/>
          <c:order val="3"/>
          <c:tx>
            <c:strRef>
              <c:f>Graphs!$F$53</c:f>
              <c:strCache>
                <c:ptCount val="1"/>
                <c:pt idx="0">
                  <c:v>% No</c:v>
                </c:pt>
              </c:strCache>
            </c:strRef>
          </c:tx>
          <c:spPr>
            <a:solidFill>
              <a:schemeClr val="accent4"/>
            </a:solidFill>
            <a:ln>
              <a:noFill/>
            </a:ln>
            <a:effectLst/>
          </c:spPr>
          <c:invertIfNegative val="0"/>
          <c:dLbls>
            <c:spPr>
              <a:solidFill>
                <a:schemeClr val="lt1"/>
              </a:solidFill>
              <a:ln w="19050" cap="flat" cmpd="sng" algn="ctr">
                <a:solidFill>
                  <a:schemeClr val="dk1"/>
                </a:solidFill>
                <a:prstDash val="solid"/>
                <a:miter lim="800000"/>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KE"/>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Graphs!$B$54:$B$57</c:f>
              <c:strCache>
                <c:ptCount val="4"/>
                <c:pt idx="0">
                  <c:v>HRH strategic plan is costed (N = 25)</c:v>
                </c:pt>
                <c:pt idx="1">
                  <c:v>HRH strategic plan has projections of the HRH needs/demand (N = 25)</c:v>
                </c:pt>
                <c:pt idx="2">
                  <c:v>HRH strategic plan projections cover the public and private sectors (N = 24)</c:v>
                </c:pt>
                <c:pt idx="3">
                  <c:v>Country ever conducted a health workforce labour market study (N = 27) </c:v>
                </c:pt>
              </c:strCache>
            </c:strRef>
          </c:cat>
          <c:val>
            <c:numRef>
              <c:f>Graphs!$F$54:$F$57</c:f>
              <c:numCache>
                <c:formatCode>0%</c:formatCode>
                <c:ptCount val="4"/>
                <c:pt idx="0">
                  <c:v>0.2</c:v>
                </c:pt>
                <c:pt idx="1">
                  <c:v>0.08</c:v>
                </c:pt>
                <c:pt idx="2">
                  <c:v>0.83333333333333337</c:v>
                </c:pt>
                <c:pt idx="3">
                  <c:v>0.48148148148148145</c:v>
                </c:pt>
              </c:numCache>
            </c:numRef>
          </c:val>
          <c:extLst>
            <c:ext xmlns:c16="http://schemas.microsoft.com/office/drawing/2014/chart" uri="{C3380CC4-5D6E-409C-BE32-E72D297353CC}">
              <c16:uniqueId val="{00000003-37FB-E041-930A-B0277D2B3986}"/>
            </c:ext>
          </c:extLst>
        </c:ser>
        <c:dLbls>
          <c:showLegendKey val="0"/>
          <c:showVal val="0"/>
          <c:showCatName val="0"/>
          <c:showSerName val="0"/>
          <c:showPercent val="0"/>
          <c:showBubbleSize val="0"/>
        </c:dLbls>
        <c:gapWidth val="150"/>
        <c:overlap val="100"/>
        <c:axId val="432672656"/>
        <c:axId val="1022517599"/>
      </c:barChart>
      <c:catAx>
        <c:axId val="43267265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800" b="0" i="0" u="none" strike="noStrike" kern="1200" baseline="0">
                <a:solidFill>
                  <a:schemeClr val="tx1">
                    <a:lumMod val="65000"/>
                    <a:lumOff val="35000"/>
                  </a:schemeClr>
                </a:solidFill>
                <a:latin typeface="+mn-lt"/>
                <a:ea typeface="+mn-ea"/>
                <a:cs typeface="+mn-cs"/>
              </a:defRPr>
            </a:pPr>
            <a:endParaRPr lang="en-KE"/>
          </a:p>
        </c:txPr>
        <c:crossAx val="1022517599"/>
        <c:crosses val="autoZero"/>
        <c:auto val="1"/>
        <c:lblAlgn val="ctr"/>
        <c:lblOffset val="100"/>
        <c:noMultiLvlLbl val="0"/>
      </c:catAx>
      <c:valAx>
        <c:axId val="1022517599"/>
        <c:scaling>
          <c:orientation val="minMax"/>
        </c:scaling>
        <c:delete val="0"/>
        <c:axPos val="b"/>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43267265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chart>
  <c:spPr>
    <a:solidFill>
      <a:schemeClr val="bg1"/>
    </a:solidFill>
    <a:ln w="19050" cap="flat" cmpd="sng" algn="ctr">
      <a:solidFill>
        <a:schemeClr val="tx1"/>
      </a:solidFill>
      <a:round/>
    </a:ln>
    <a:effectLst/>
  </c:spPr>
  <c:txPr>
    <a:bodyPr/>
    <a:lstStyle/>
    <a:p>
      <a:pPr>
        <a:defRPr/>
      </a:pPr>
      <a:endParaRPr lang="en-KE"/>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If there is a strategic plan, what elements are covered?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KE"/>
        </a:p>
      </c:txPr>
    </c:title>
    <c:autoTitleDeleted val="0"/>
    <c:plotArea>
      <c:layout/>
      <c:barChart>
        <c:barDir val="bar"/>
        <c:grouping val="stacked"/>
        <c:varyColors val="0"/>
        <c:ser>
          <c:idx val="0"/>
          <c:order val="0"/>
          <c:tx>
            <c:strRef>
              <c:f>Graphs!$C$95</c:f>
              <c:strCache>
                <c:ptCount val="1"/>
                <c:pt idx="0">
                  <c:v>Yes</c:v>
                </c:pt>
              </c:strCache>
            </c:strRef>
          </c:tx>
          <c:spPr>
            <a:solidFill>
              <a:schemeClr val="accent1"/>
            </a:solidFill>
            <a:ln>
              <a:noFill/>
            </a:ln>
            <a:effectLst/>
          </c:spPr>
          <c:invertIfNegative val="0"/>
          <c:cat>
            <c:strRef>
              <c:f>Graphs!$B$96:$B$100</c:f>
              <c:strCache>
                <c:ptCount val="5"/>
                <c:pt idx="0">
                  <c:v>HRH strategic plan has educational targets to shape supply of health workforce (N = 24)</c:v>
                </c:pt>
                <c:pt idx="1">
                  <c:v>HRH strategic plan has recruitment targets (planned new recruitments) (N = 24)</c:v>
                </c:pt>
                <c:pt idx="2">
                  <c:v>HRH strategic plan addrerss deployment and distribution (N = 24)</c:v>
                </c:pt>
                <c:pt idx="3">
                  <c:v>HRH strategic plan has incentives/retention strategies (N = 24)</c:v>
                </c:pt>
                <c:pt idx="4">
                  <c:v>HRH strategic plan address international migration of staff  (N = 24)</c:v>
                </c:pt>
              </c:strCache>
            </c:strRef>
          </c:cat>
          <c:val>
            <c:numRef>
              <c:f>Graphs!$C$96:$C$100</c:f>
            </c:numRef>
          </c:val>
          <c:extLst>
            <c:ext xmlns:c16="http://schemas.microsoft.com/office/drawing/2014/chart" uri="{C3380CC4-5D6E-409C-BE32-E72D297353CC}">
              <c16:uniqueId val="{00000000-DE36-434D-9A90-EFF5B0A1CF68}"/>
            </c:ext>
          </c:extLst>
        </c:ser>
        <c:ser>
          <c:idx val="1"/>
          <c:order val="1"/>
          <c:tx>
            <c:strRef>
              <c:f>Graphs!$D$95</c:f>
              <c:strCache>
                <c:ptCount val="1"/>
                <c:pt idx="0">
                  <c:v>No</c:v>
                </c:pt>
              </c:strCache>
            </c:strRef>
          </c:tx>
          <c:spPr>
            <a:solidFill>
              <a:schemeClr val="accent2"/>
            </a:solidFill>
            <a:ln>
              <a:noFill/>
            </a:ln>
            <a:effectLst/>
          </c:spPr>
          <c:invertIfNegative val="0"/>
          <c:cat>
            <c:strRef>
              <c:f>Graphs!$B$96:$B$100</c:f>
              <c:strCache>
                <c:ptCount val="5"/>
                <c:pt idx="0">
                  <c:v>HRH strategic plan has educational targets to shape supply of health workforce (N = 24)</c:v>
                </c:pt>
                <c:pt idx="1">
                  <c:v>HRH strategic plan has recruitment targets (planned new recruitments) (N = 24)</c:v>
                </c:pt>
                <c:pt idx="2">
                  <c:v>HRH strategic plan addrerss deployment and distribution (N = 24)</c:v>
                </c:pt>
                <c:pt idx="3">
                  <c:v>HRH strategic plan has incentives/retention strategies (N = 24)</c:v>
                </c:pt>
                <c:pt idx="4">
                  <c:v>HRH strategic plan address international migration of staff  (N = 24)</c:v>
                </c:pt>
              </c:strCache>
            </c:strRef>
          </c:cat>
          <c:val>
            <c:numRef>
              <c:f>Graphs!$D$96:$D$100</c:f>
            </c:numRef>
          </c:val>
          <c:extLst>
            <c:ext xmlns:c16="http://schemas.microsoft.com/office/drawing/2014/chart" uri="{C3380CC4-5D6E-409C-BE32-E72D297353CC}">
              <c16:uniqueId val="{00000001-DE36-434D-9A90-EFF5B0A1CF68}"/>
            </c:ext>
          </c:extLst>
        </c:ser>
        <c:ser>
          <c:idx val="2"/>
          <c:order val="2"/>
          <c:tx>
            <c:strRef>
              <c:f>Graphs!$E$95</c:f>
              <c:strCache>
                <c:ptCount val="1"/>
                <c:pt idx="0">
                  <c:v>% Yes</c:v>
                </c:pt>
              </c:strCache>
            </c:strRef>
          </c:tx>
          <c:spPr>
            <a:solidFill>
              <a:schemeClr val="accent3"/>
            </a:solidFill>
            <a:ln>
              <a:noFill/>
            </a:ln>
            <a:effectLst/>
          </c:spPr>
          <c:invertIfNegative val="0"/>
          <c:dLbls>
            <c:spPr>
              <a:solidFill>
                <a:schemeClr val="lt1"/>
              </a:solidFill>
              <a:ln w="19050" cap="flat" cmpd="sng" algn="ctr">
                <a:solidFill>
                  <a:schemeClr val="dk1"/>
                </a:solidFill>
                <a:prstDash val="solid"/>
                <a:miter lim="800000"/>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KE"/>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Graphs!$B$96:$B$100</c:f>
              <c:strCache>
                <c:ptCount val="5"/>
                <c:pt idx="0">
                  <c:v>HRH strategic plan has educational targets to shape supply of health workforce (N = 24)</c:v>
                </c:pt>
                <c:pt idx="1">
                  <c:v>HRH strategic plan has recruitment targets (planned new recruitments) (N = 24)</c:v>
                </c:pt>
                <c:pt idx="2">
                  <c:v>HRH strategic plan addrerss deployment and distribution (N = 24)</c:v>
                </c:pt>
                <c:pt idx="3">
                  <c:v>HRH strategic plan has incentives/retention strategies (N = 24)</c:v>
                </c:pt>
                <c:pt idx="4">
                  <c:v>HRH strategic plan address international migration of staff  (N = 24)</c:v>
                </c:pt>
              </c:strCache>
            </c:strRef>
          </c:cat>
          <c:val>
            <c:numRef>
              <c:f>Graphs!$E$96:$E$100</c:f>
              <c:numCache>
                <c:formatCode>0%</c:formatCode>
                <c:ptCount val="5"/>
                <c:pt idx="0">
                  <c:v>0.875</c:v>
                </c:pt>
                <c:pt idx="1">
                  <c:v>0.875</c:v>
                </c:pt>
                <c:pt idx="2">
                  <c:v>0.79166666666666663</c:v>
                </c:pt>
                <c:pt idx="3">
                  <c:v>0.79166666666666663</c:v>
                </c:pt>
                <c:pt idx="4">
                  <c:v>0.30434782608695654</c:v>
                </c:pt>
              </c:numCache>
            </c:numRef>
          </c:val>
          <c:extLst>
            <c:ext xmlns:c16="http://schemas.microsoft.com/office/drawing/2014/chart" uri="{C3380CC4-5D6E-409C-BE32-E72D297353CC}">
              <c16:uniqueId val="{00000002-DE36-434D-9A90-EFF5B0A1CF68}"/>
            </c:ext>
          </c:extLst>
        </c:ser>
        <c:ser>
          <c:idx val="3"/>
          <c:order val="3"/>
          <c:tx>
            <c:strRef>
              <c:f>Graphs!$F$95</c:f>
              <c:strCache>
                <c:ptCount val="1"/>
                <c:pt idx="0">
                  <c:v>% No</c:v>
                </c:pt>
              </c:strCache>
            </c:strRef>
          </c:tx>
          <c:spPr>
            <a:solidFill>
              <a:schemeClr val="accent4"/>
            </a:solidFill>
            <a:ln>
              <a:noFill/>
            </a:ln>
            <a:effectLst/>
          </c:spPr>
          <c:invertIfNegative val="0"/>
          <c:dLbls>
            <c:spPr>
              <a:solidFill>
                <a:schemeClr val="lt1"/>
              </a:solidFill>
              <a:ln w="19050" cap="flat" cmpd="sng" algn="ctr">
                <a:solidFill>
                  <a:schemeClr val="dk1"/>
                </a:solidFill>
                <a:prstDash val="solid"/>
                <a:miter lim="800000"/>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KE"/>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Graphs!$B$96:$B$100</c:f>
              <c:strCache>
                <c:ptCount val="5"/>
                <c:pt idx="0">
                  <c:v>HRH strategic plan has educational targets to shape supply of health workforce (N = 24)</c:v>
                </c:pt>
                <c:pt idx="1">
                  <c:v>HRH strategic plan has recruitment targets (planned new recruitments) (N = 24)</c:v>
                </c:pt>
                <c:pt idx="2">
                  <c:v>HRH strategic plan addrerss deployment and distribution (N = 24)</c:v>
                </c:pt>
                <c:pt idx="3">
                  <c:v>HRH strategic plan has incentives/retention strategies (N = 24)</c:v>
                </c:pt>
                <c:pt idx="4">
                  <c:v>HRH strategic plan address international migration of staff  (N = 24)</c:v>
                </c:pt>
              </c:strCache>
            </c:strRef>
          </c:cat>
          <c:val>
            <c:numRef>
              <c:f>Graphs!$F$96:$F$100</c:f>
              <c:numCache>
                <c:formatCode>0%</c:formatCode>
                <c:ptCount val="5"/>
                <c:pt idx="0">
                  <c:v>0.125</c:v>
                </c:pt>
                <c:pt idx="1">
                  <c:v>0.125</c:v>
                </c:pt>
                <c:pt idx="2">
                  <c:v>0.20833333333333334</c:v>
                </c:pt>
                <c:pt idx="3">
                  <c:v>0.20833333333333334</c:v>
                </c:pt>
                <c:pt idx="4">
                  <c:v>0.69565217391304346</c:v>
                </c:pt>
              </c:numCache>
            </c:numRef>
          </c:val>
          <c:extLst>
            <c:ext xmlns:c16="http://schemas.microsoft.com/office/drawing/2014/chart" uri="{C3380CC4-5D6E-409C-BE32-E72D297353CC}">
              <c16:uniqueId val="{00000003-DE36-434D-9A90-EFF5B0A1CF68}"/>
            </c:ext>
          </c:extLst>
        </c:ser>
        <c:dLbls>
          <c:showLegendKey val="0"/>
          <c:showVal val="0"/>
          <c:showCatName val="0"/>
          <c:showSerName val="0"/>
          <c:showPercent val="0"/>
          <c:showBubbleSize val="0"/>
        </c:dLbls>
        <c:gapWidth val="150"/>
        <c:overlap val="100"/>
        <c:axId val="2088284320"/>
        <c:axId val="1872134575"/>
      </c:barChart>
      <c:catAx>
        <c:axId val="208828432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800" b="0" i="0" u="none" strike="noStrike" kern="1200" baseline="0">
                <a:solidFill>
                  <a:schemeClr val="tx1">
                    <a:lumMod val="65000"/>
                    <a:lumOff val="35000"/>
                  </a:schemeClr>
                </a:solidFill>
                <a:latin typeface="+mn-lt"/>
                <a:ea typeface="+mn-ea"/>
                <a:cs typeface="+mn-cs"/>
              </a:defRPr>
            </a:pPr>
            <a:endParaRPr lang="en-KE"/>
          </a:p>
        </c:txPr>
        <c:crossAx val="1872134575"/>
        <c:crosses val="autoZero"/>
        <c:auto val="1"/>
        <c:lblAlgn val="ctr"/>
        <c:lblOffset val="100"/>
        <c:noMultiLvlLbl val="0"/>
      </c:catAx>
      <c:valAx>
        <c:axId val="1872134575"/>
        <c:scaling>
          <c:orientation val="minMax"/>
        </c:scaling>
        <c:delete val="0"/>
        <c:axPos val="b"/>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208828432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chart>
  <c:spPr>
    <a:solidFill>
      <a:schemeClr val="bg1"/>
    </a:solidFill>
    <a:ln w="28575" cap="flat" cmpd="sng" algn="ctr">
      <a:solidFill>
        <a:schemeClr val="tx1"/>
      </a:solidFill>
      <a:round/>
    </a:ln>
    <a:effectLst/>
  </c:spPr>
  <c:txPr>
    <a:bodyPr/>
    <a:lstStyle/>
    <a:p>
      <a:pPr>
        <a:defRPr/>
      </a:pPr>
      <a:endParaRPr lang="en-KE"/>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Occurences of health worker strikes in the last 12 months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KE"/>
        </a:p>
      </c:txPr>
    </c:title>
    <c:autoTitleDeleted val="0"/>
    <c:plotArea>
      <c:layout/>
      <c:barChart>
        <c:barDir val="col"/>
        <c:grouping val="clustered"/>
        <c:varyColors val="0"/>
        <c:ser>
          <c:idx val="0"/>
          <c:order val="0"/>
          <c:tx>
            <c:strRef>
              <c:f>Graphs!$H$187</c:f>
              <c:strCache>
                <c:ptCount val="1"/>
                <c:pt idx="0">
                  <c:v>Number of countries</c:v>
                </c:pt>
              </c:strCache>
            </c:strRef>
          </c:tx>
          <c:spPr>
            <a:solidFill>
              <a:schemeClr val="accent1"/>
            </a:solidFill>
            <a:ln>
              <a:noFill/>
            </a:ln>
            <a:effectLst/>
          </c:spPr>
          <c:invertIfNegative val="0"/>
          <c:cat>
            <c:strRef>
              <c:f>Graphs!$G$188:$G$190</c:f>
              <c:strCache>
                <c:ptCount val="3"/>
                <c:pt idx="0">
                  <c:v>None</c:v>
                </c:pt>
                <c:pt idx="1">
                  <c:v>1-2 times</c:v>
                </c:pt>
                <c:pt idx="2">
                  <c:v>3 or more times</c:v>
                </c:pt>
              </c:strCache>
            </c:strRef>
          </c:cat>
          <c:val>
            <c:numRef>
              <c:f>Graphs!$H$188:$H$190</c:f>
              <c:numCache>
                <c:formatCode>General</c:formatCode>
                <c:ptCount val="3"/>
                <c:pt idx="0">
                  <c:v>12</c:v>
                </c:pt>
                <c:pt idx="1">
                  <c:v>8</c:v>
                </c:pt>
                <c:pt idx="2">
                  <c:v>6</c:v>
                </c:pt>
              </c:numCache>
            </c:numRef>
          </c:val>
          <c:extLst>
            <c:ext xmlns:c16="http://schemas.microsoft.com/office/drawing/2014/chart" uri="{C3380CC4-5D6E-409C-BE32-E72D297353CC}">
              <c16:uniqueId val="{00000000-4FE7-DA46-AB61-006A0FBAAE91}"/>
            </c:ext>
          </c:extLst>
        </c:ser>
        <c:dLbls>
          <c:showLegendKey val="0"/>
          <c:showVal val="0"/>
          <c:showCatName val="0"/>
          <c:showSerName val="0"/>
          <c:showPercent val="0"/>
          <c:showBubbleSize val="0"/>
        </c:dLbls>
        <c:gapWidth val="219"/>
        <c:overlap val="-27"/>
        <c:axId val="1005172080"/>
        <c:axId val="1005483696"/>
      </c:barChart>
      <c:lineChart>
        <c:grouping val="standard"/>
        <c:varyColors val="0"/>
        <c:ser>
          <c:idx val="1"/>
          <c:order val="1"/>
          <c:tx>
            <c:strRef>
              <c:f>Graphs!$I$187</c:f>
              <c:strCache>
                <c:ptCount val="1"/>
                <c:pt idx="0">
                  <c:v>Percent of countries</c:v>
                </c:pt>
              </c:strCache>
            </c:strRef>
          </c:tx>
          <c:spPr>
            <a:ln w="28575" cap="rnd">
              <a:solidFill>
                <a:schemeClr val="accent2"/>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KE"/>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Graphs!$G$188:$G$190</c:f>
              <c:strCache>
                <c:ptCount val="3"/>
                <c:pt idx="0">
                  <c:v>None</c:v>
                </c:pt>
                <c:pt idx="1">
                  <c:v>1-2 times</c:v>
                </c:pt>
                <c:pt idx="2">
                  <c:v>3 or more times</c:v>
                </c:pt>
              </c:strCache>
            </c:strRef>
          </c:cat>
          <c:val>
            <c:numRef>
              <c:f>Graphs!$I$188:$I$190</c:f>
              <c:numCache>
                <c:formatCode>0%</c:formatCode>
                <c:ptCount val="3"/>
                <c:pt idx="0">
                  <c:v>0.46153846153846156</c:v>
                </c:pt>
                <c:pt idx="1">
                  <c:v>0.30769230769230771</c:v>
                </c:pt>
                <c:pt idx="2">
                  <c:v>0.23076923076923078</c:v>
                </c:pt>
              </c:numCache>
            </c:numRef>
          </c:val>
          <c:smooth val="0"/>
          <c:extLst>
            <c:ext xmlns:c16="http://schemas.microsoft.com/office/drawing/2014/chart" uri="{C3380CC4-5D6E-409C-BE32-E72D297353CC}">
              <c16:uniqueId val="{00000001-4FE7-DA46-AB61-006A0FBAAE91}"/>
            </c:ext>
          </c:extLst>
        </c:ser>
        <c:dLbls>
          <c:showLegendKey val="0"/>
          <c:showVal val="0"/>
          <c:showCatName val="0"/>
          <c:showSerName val="0"/>
          <c:showPercent val="0"/>
          <c:showBubbleSize val="0"/>
        </c:dLbls>
        <c:marker val="1"/>
        <c:smooth val="0"/>
        <c:axId val="1931552639"/>
        <c:axId val="1005167904"/>
      </c:lineChart>
      <c:catAx>
        <c:axId val="10051720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005483696"/>
        <c:crosses val="autoZero"/>
        <c:auto val="1"/>
        <c:lblAlgn val="ctr"/>
        <c:lblOffset val="100"/>
        <c:noMultiLvlLbl val="0"/>
      </c:catAx>
      <c:valAx>
        <c:axId val="100548369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Number of countries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KE"/>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005172080"/>
        <c:crosses val="autoZero"/>
        <c:crossBetween val="between"/>
      </c:valAx>
      <c:valAx>
        <c:axId val="1005167904"/>
        <c:scaling>
          <c:orientation val="minMax"/>
        </c:scaling>
        <c:delete val="0"/>
        <c:axPos val="r"/>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percent of countries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KE"/>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931552639"/>
        <c:crosses val="max"/>
        <c:crossBetween val="between"/>
      </c:valAx>
      <c:catAx>
        <c:axId val="1931552639"/>
        <c:scaling>
          <c:orientation val="minMax"/>
        </c:scaling>
        <c:delete val="1"/>
        <c:axPos val="b"/>
        <c:numFmt formatCode="General" sourceLinked="1"/>
        <c:majorTickMark val="none"/>
        <c:minorTickMark val="none"/>
        <c:tickLblPos val="nextTo"/>
        <c:crossAx val="1005167904"/>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Impact of health worker strikes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KE"/>
        </a:p>
      </c:txPr>
    </c:title>
    <c:autoTitleDeleted val="0"/>
    <c:plotArea>
      <c:layout/>
      <c:barChart>
        <c:barDir val="col"/>
        <c:grouping val="clustered"/>
        <c:varyColors val="0"/>
        <c:ser>
          <c:idx val="0"/>
          <c:order val="0"/>
          <c:tx>
            <c:strRef>
              <c:f>Graphs!$H$197</c:f>
              <c:strCache>
                <c:ptCount val="1"/>
                <c:pt idx="0">
                  <c:v>Number of countries</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lumMod val="75000"/>
                        <a:lumOff val="25000"/>
                      </a:schemeClr>
                    </a:solidFill>
                    <a:latin typeface="+mn-lt"/>
                    <a:ea typeface="+mn-ea"/>
                    <a:cs typeface="+mn-cs"/>
                  </a:defRPr>
                </a:pPr>
                <a:endParaRPr lang="en-KE"/>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Graphs!$G$198:$G$200</c:f>
              <c:strCache>
                <c:ptCount val="3"/>
                <c:pt idx="0">
                  <c:v>Significant impact</c:v>
                </c:pt>
                <c:pt idx="1">
                  <c:v>Limited Impact</c:v>
                </c:pt>
                <c:pt idx="2">
                  <c:v>No impact</c:v>
                </c:pt>
              </c:strCache>
            </c:strRef>
          </c:cat>
          <c:val>
            <c:numRef>
              <c:f>Graphs!$H$198:$H$200</c:f>
              <c:numCache>
                <c:formatCode>General</c:formatCode>
                <c:ptCount val="3"/>
                <c:pt idx="0">
                  <c:v>12</c:v>
                </c:pt>
                <c:pt idx="1">
                  <c:v>10</c:v>
                </c:pt>
                <c:pt idx="2">
                  <c:v>4</c:v>
                </c:pt>
              </c:numCache>
            </c:numRef>
          </c:val>
          <c:extLst>
            <c:ext xmlns:c16="http://schemas.microsoft.com/office/drawing/2014/chart" uri="{C3380CC4-5D6E-409C-BE32-E72D297353CC}">
              <c16:uniqueId val="{00000000-F271-5247-82E6-520C477121BC}"/>
            </c:ext>
          </c:extLst>
        </c:ser>
        <c:dLbls>
          <c:showLegendKey val="0"/>
          <c:showVal val="0"/>
          <c:showCatName val="0"/>
          <c:showSerName val="0"/>
          <c:showPercent val="0"/>
          <c:showBubbleSize val="0"/>
        </c:dLbls>
        <c:gapWidth val="219"/>
        <c:overlap val="-27"/>
        <c:axId val="2134401599"/>
        <c:axId val="2134403311"/>
      </c:barChart>
      <c:catAx>
        <c:axId val="21344015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2134403311"/>
        <c:crosses val="autoZero"/>
        <c:auto val="1"/>
        <c:lblAlgn val="ctr"/>
        <c:lblOffset val="100"/>
        <c:noMultiLvlLbl val="0"/>
      </c:catAx>
      <c:valAx>
        <c:axId val="213440331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213440159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03">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ap="none" spc="0" normalizeH="0" baseline="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spPr>
      <a:pattFill prst="ltDnDiag">
        <a:fgClr>
          <a:schemeClr val="dk1">
            <a:lumMod val="15000"/>
            <a:lumOff val="85000"/>
          </a:schemeClr>
        </a:fgClr>
        <a:bgClr>
          <a:schemeClr val="lt1"/>
        </a:bgClr>
      </a:pattFill>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pattFill prst="ltDnDiag">
        <a:fgClr>
          <a:schemeClr val="dk1">
            <a:lumMod val="15000"/>
            <a:lumOff val="85000"/>
          </a:schemeClr>
        </a:fgClr>
        <a:bgClr>
          <a:schemeClr val="lt1"/>
        </a:bgClr>
      </a:pattFill>
    </cs:spPr>
  </cs:plotArea>
  <cs:plotArea3D>
    <cs:lnRef idx="0"/>
    <cs:fillRef idx="0"/>
    <cs:effectRef idx="0"/>
    <cs:fontRef idx="minor">
      <a:schemeClr val="dk1"/>
    </cs:fontRef>
    <cs:spPr>
      <a:solidFill>
        <a:schemeClr val="lt1"/>
      </a:solidFill>
    </cs:spPr>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cap="none"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spPr>
      <a:pattFill prst="ltDnDiag">
        <a:fgClr>
          <a:schemeClr val="dk1">
            <a:lumMod val="15000"/>
            <a:lumOff val="85000"/>
          </a:schemeClr>
        </a:fgClr>
        <a:bgClr>
          <a:schemeClr val="lt1"/>
        </a:bgClr>
      </a:pattFill>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9</xdr:col>
      <xdr:colOff>28222</xdr:colOff>
      <xdr:row>1</xdr:row>
      <xdr:rowOff>180620</xdr:rowOff>
    </xdr:from>
    <xdr:to>
      <xdr:col>23</xdr:col>
      <xdr:colOff>235858</xdr:colOff>
      <xdr:row>21</xdr:row>
      <xdr:rowOff>199572</xdr:rowOff>
    </xdr:to>
    <xdr:graphicFrame macro="">
      <xdr:nvGraphicFramePr>
        <xdr:cNvPr id="4" name="Chart 3">
          <a:extLst>
            <a:ext uri="{FF2B5EF4-FFF2-40B4-BE49-F238E27FC236}">
              <a16:creationId xmlns:a16="http://schemas.microsoft.com/office/drawing/2014/main" id="{444D582F-1B02-6CDF-F6F2-AB95AF0E4A3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816430</xdr:colOff>
      <xdr:row>21</xdr:row>
      <xdr:rowOff>519288</xdr:rowOff>
    </xdr:from>
    <xdr:to>
      <xdr:col>23</xdr:col>
      <xdr:colOff>145143</xdr:colOff>
      <xdr:row>45</xdr:row>
      <xdr:rowOff>18143</xdr:rowOff>
    </xdr:to>
    <xdr:graphicFrame macro="">
      <xdr:nvGraphicFramePr>
        <xdr:cNvPr id="5" name="Chart 4">
          <a:extLst>
            <a:ext uri="{FF2B5EF4-FFF2-40B4-BE49-F238E27FC236}">
              <a16:creationId xmlns:a16="http://schemas.microsoft.com/office/drawing/2014/main" id="{E9DC6A30-A39E-08A2-D4A8-12F413F8391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49387</xdr:colOff>
      <xdr:row>46</xdr:row>
      <xdr:rowOff>163286</xdr:rowOff>
    </xdr:from>
    <xdr:to>
      <xdr:col>23</xdr:col>
      <xdr:colOff>181428</xdr:colOff>
      <xdr:row>73</xdr:row>
      <xdr:rowOff>193522</xdr:rowOff>
    </xdr:to>
    <xdr:graphicFrame macro="">
      <xdr:nvGraphicFramePr>
        <xdr:cNvPr id="6" name="Chart 5">
          <a:extLst>
            <a:ext uri="{FF2B5EF4-FFF2-40B4-BE49-F238E27FC236}">
              <a16:creationId xmlns:a16="http://schemas.microsoft.com/office/drawing/2014/main" id="{B421F2F8-2A5A-06E3-8D01-92CE82CF6B8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6047</xdr:colOff>
      <xdr:row>75</xdr:row>
      <xdr:rowOff>158448</xdr:rowOff>
    </xdr:from>
    <xdr:to>
      <xdr:col>23</xdr:col>
      <xdr:colOff>272143</xdr:colOff>
      <xdr:row>105</xdr:row>
      <xdr:rowOff>72571</xdr:rowOff>
    </xdr:to>
    <xdr:graphicFrame macro="">
      <xdr:nvGraphicFramePr>
        <xdr:cNvPr id="7" name="Chart 6">
          <a:extLst>
            <a:ext uri="{FF2B5EF4-FFF2-40B4-BE49-F238E27FC236}">
              <a16:creationId xmlns:a16="http://schemas.microsoft.com/office/drawing/2014/main" id="{8AC14501-A1E6-E136-34C6-9CA55203734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9</xdr:col>
      <xdr:colOff>18141</xdr:colOff>
      <xdr:row>106</xdr:row>
      <xdr:rowOff>112082</xdr:rowOff>
    </xdr:from>
    <xdr:to>
      <xdr:col>23</xdr:col>
      <xdr:colOff>344715</xdr:colOff>
      <xdr:row>138</xdr:row>
      <xdr:rowOff>-1</xdr:rowOff>
    </xdr:to>
    <xdr:graphicFrame macro="">
      <xdr:nvGraphicFramePr>
        <xdr:cNvPr id="8" name="Chart 7">
          <a:extLst>
            <a:ext uri="{FF2B5EF4-FFF2-40B4-BE49-F238E27FC236}">
              <a16:creationId xmlns:a16="http://schemas.microsoft.com/office/drawing/2014/main" id="{1929FAC8-95E3-1514-0231-97212B2633D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9</xdr:col>
      <xdr:colOff>30236</xdr:colOff>
      <xdr:row>138</xdr:row>
      <xdr:rowOff>190702</xdr:rowOff>
    </xdr:from>
    <xdr:to>
      <xdr:col>23</xdr:col>
      <xdr:colOff>235857</xdr:colOff>
      <xdr:row>171</xdr:row>
      <xdr:rowOff>122968</xdr:rowOff>
    </xdr:to>
    <xdr:graphicFrame macro="">
      <xdr:nvGraphicFramePr>
        <xdr:cNvPr id="9" name="Chart 8">
          <a:extLst>
            <a:ext uri="{FF2B5EF4-FFF2-40B4-BE49-F238E27FC236}">
              <a16:creationId xmlns:a16="http://schemas.microsoft.com/office/drawing/2014/main" id="{849D6F51-D14F-D14D-E311-299D615ABD5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10</xdr:col>
      <xdr:colOff>217714</xdr:colOff>
      <xdr:row>176</xdr:row>
      <xdr:rowOff>143329</xdr:rowOff>
    </xdr:from>
    <xdr:to>
      <xdr:col>20</xdr:col>
      <xdr:colOff>308429</xdr:colOff>
      <xdr:row>197</xdr:row>
      <xdr:rowOff>199572</xdr:rowOff>
    </xdr:to>
    <xdr:graphicFrame macro="">
      <xdr:nvGraphicFramePr>
        <xdr:cNvPr id="10" name="Chart 9">
          <a:extLst>
            <a:ext uri="{FF2B5EF4-FFF2-40B4-BE49-F238E27FC236}">
              <a16:creationId xmlns:a16="http://schemas.microsoft.com/office/drawing/2014/main" id="{66B530C8-FAE5-987F-F2CB-E5747367DF3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11</xdr:col>
      <xdr:colOff>163286</xdr:colOff>
      <xdr:row>199</xdr:row>
      <xdr:rowOff>34472</xdr:rowOff>
    </xdr:from>
    <xdr:to>
      <xdr:col>22</xdr:col>
      <xdr:colOff>254000</xdr:colOff>
      <xdr:row>230</xdr:row>
      <xdr:rowOff>108857</xdr:rowOff>
    </xdr:to>
    <xdr:graphicFrame macro="">
      <xdr:nvGraphicFramePr>
        <xdr:cNvPr id="11" name="Chart 10">
          <a:extLst>
            <a:ext uri="{FF2B5EF4-FFF2-40B4-BE49-F238E27FC236}">
              <a16:creationId xmlns:a16="http://schemas.microsoft.com/office/drawing/2014/main" id="{2C8B7B5A-06B9-0095-DC9C-A9C0DB523B5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FF47EA-6A79-2149-ABA8-AD5C351E803D}">
  <dimension ref="A1:N314"/>
  <sheetViews>
    <sheetView showGridLines="0" tabSelected="1" view="pageBreakPreview" topLeftCell="C218" zoomScale="80" zoomScaleNormal="100" zoomScaleSheetLayoutView="80" workbookViewId="0">
      <selection activeCell="C329" sqref="C329"/>
    </sheetView>
  </sheetViews>
  <sheetFormatPr defaultColWidth="10.83203125" defaultRowHeight="16" x14ac:dyDescent="0.4"/>
  <cols>
    <col min="2" max="2" width="124.1640625" bestFit="1" customWidth="1"/>
    <col min="3" max="3" width="41.83203125" style="6" bestFit="1" customWidth="1"/>
    <col min="7" max="7" width="82.6640625" bestFit="1" customWidth="1"/>
    <col min="12" max="12" width="12.6640625" bestFit="1" customWidth="1"/>
  </cols>
  <sheetData>
    <row r="1" spans="1:14" ht="23.5" x14ac:dyDescent="0.4">
      <c r="A1" s="1" t="s">
        <v>53</v>
      </c>
      <c r="B1" s="31" t="s">
        <v>0</v>
      </c>
      <c r="C1" s="31" t="s">
        <v>1</v>
      </c>
    </row>
    <row r="2" spans="1:14" ht="24" thickBot="1" x14ac:dyDescent="0.45">
      <c r="A2" s="2" t="s">
        <v>14</v>
      </c>
      <c r="B2" s="1" t="s">
        <v>2</v>
      </c>
      <c r="C2" s="4" t="s">
        <v>15</v>
      </c>
      <c r="G2" s="54" t="s">
        <v>119</v>
      </c>
      <c r="H2" s="55" t="s">
        <v>98</v>
      </c>
      <c r="I2" s="55" t="s">
        <v>102</v>
      </c>
      <c r="J2" s="55" t="s">
        <v>113</v>
      </c>
      <c r="K2" s="55" t="s">
        <v>114</v>
      </c>
      <c r="L2" s="55" t="s">
        <v>112</v>
      </c>
    </row>
    <row r="3" spans="1:14" ht="24" thickTop="1" x14ac:dyDescent="0.55000000000000004">
      <c r="A3" s="2" t="s">
        <v>14</v>
      </c>
      <c r="B3" s="49" t="s">
        <v>3</v>
      </c>
      <c r="C3" s="50" t="s">
        <v>15</v>
      </c>
      <c r="F3" s="53"/>
      <c r="G3" s="52" t="s">
        <v>2</v>
      </c>
      <c r="H3" s="65">
        <f>COUNTIFS($B:$B,$G3,$C:$C,H$2)</f>
        <v>24</v>
      </c>
      <c r="I3" s="65">
        <f>COUNTIFS($B:$B,$G3,$C:$C,I$2)</f>
        <v>6</v>
      </c>
      <c r="J3" s="66">
        <f>H3/L3</f>
        <v>0.8</v>
      </c>
      <c r="K3" s="66">
        <f>I3/L3</f>
        <v>0.2</v>
      </c>
      <c r="L3" s="65">
        <f>H3+I3</f>
        <v>30</v>
      </c>
    </row>
    <row r="4" spans="1:14" ht="23.5" x14ac:dyDescent="0.55000000000000004">
      <c r="A4" s="2" t="s">
        <v>14</v>
      </c>
      <c r="B4" s="51" t="s">
        <v>4</v>
      </c>
      <c r="C4" s="50">
        <v>10</v>
      </c>
      <c r="G4" s="52" t="s">
        <v>3</v>
      </c>
      <c r="H4" s="56">
        <f t="shared" ref="H4:I8" si="0">COUNTIFS($B:$B,$G4,$C:$C,H$2)</f>
        <v>22</v>
      </c>
      <c r="I4" s="56">
        <f t="shared" si="0"/>
        <v>13</v>
      </c>
      <c r="J4" s="57">
        <f t="shared" ref="J4:J8" si="1">H4/L4</f>
        <v>0.62857142857142856</v>
      </c>
      <c r="K4" s="57">
        <f t="shared" ref="K4:K8" si="2">I4/L4</f>
        <v>0.37142857142857144</v>
      </c>
      <c r="L4" s="56">
        <f t="shared" ref="L4:L8" si="3">H4+I4</f>
        <v>35</v>
      </c>
    </row>
    <row r="5" spans="1:14" ht="23.5" x14ac:dyDescent="0.55000000000000004">
      <c r="A5" s="2" t="s">
        <v>14</v>
      </c>
      <c r="B5" s="51" t="s">
        <v>5</v>
      </c>
      <c r="C5" s="50" t="s">
        <v>15</v>
      </c>
      <c r="G5" s="58" t="s">
        <v>4</v>
      </c>
      <c r="H5" s="59">
        <f>AVERAGEIFS(C:C,B:B,G5)</f>
        <v>6.416666666666667</v>
      </c>
      <c r="I5" s="56"/>
      <c r="J5" s="57"/>
      <c r="K5" s="57"/>
      <c r="L5" s="56"/>
      <c r="M5">
        <f>_xlfn.MINIFS(C:C,B:B,G5)</f>
        <v>1</v>
      </c>
      <c r="N5">
        <f>_xlfn.MAXIFS(C:C,B:B,G5)</f>
        <v>10</v>
      </c>
    </row>
    <row r="6" spans="1:14" ht="23.5" x14ac:dyDescent="0.55000000000000004">
      <c r="A6" s="2" t="s">
        <v>14</v>
      </c>
      <c r="B6" s="51" t="s">
        <v>6</v>
      </c>
      <c r="C6" s="50" t="s">
        <v>15</v>
      </c>
      <c r="G6" s="58" t="s">
        <v>5</v>
      </c>
      <c r="H6" s="56">
        <f t="shared" si="0"/>
        <v>20</v>
      </c>
      <c r="I6" s="56">
        <f t="shared" si="0"/>
        <v>5</v>
      </c>
      <c r="J6" s="57">
        <f t="shared" si="1"/>
        <v>0.8</v>
      </c>
      <c r="K6" s="57">
        <f t="shared" si="2"/>
        <v>0.2</v>
      </c>
      <c r="L6" s="56">
        <f t="shared" si="3"/>
        <v>25</v>
      </c>
    </row>
    <row r="7" spans="1:14" ht="23.5" x14ac:dyDescent="0.55000000000000004">
      <c r="A7" s="2" t="s">
        <v>14</v>
      </c>
      <c r="B7" s="51" t="s">
        <v>7</v>
      </c>
      <c r="C7" s="50" t="s">
        <v>16</v>
      </c>
      <c r="G7" s="58" t="s">
        <v>6</v>
      </c>
      <c r="H7" s="56">
        <f t="shared" si="0"/>
        <v>23</v>
      </c>
      <c r="I7" s="56">
        <f t="shared" si="0"/>
        <v>2</v>
      </c>
      <c r="J7" s="57">
        <f t="shared" si="1"/>
        <v>0.92</v>
      </c>
      <c r="K7" s="57">
        <f t="shared" si="2"/>
        <v>0.08</v>
      </c>
      <c r="L7" s="56">
        <f t="shared" si="3"/>
        <v>25</v>
      </c>
    </row>
    <row r="8" spans="1:14" ht="23.5" x14ac:dyDescent="0.55000000000000004">
      <c r="A8" s="2" t="s">
        <v>14</v>
      </c>
      <c r="B8" s="51" t="s">
        <v>8</v>
      </c>
      <c r="C8" s="50" t="s">
        <v>15</v>
      </c>
      <c r="G8" s="58" t="s">
        <v>7</v>
      </c>
      <c r="H8" s="56">
        <f t="shared" si="0"/>
        <v>4</v>
      </c>
      <c r="I8" s="56">
        <f t="shared" si="0"/>
        <v>20</v>
      </c>
      <c r="J8" s="57">
        <f t="shared" si="1"/>
        <v>0.16666666666666666</v>
      </c>
      <c r="K8" s="57">
        <f t="shared" si="2"/>
        <v>0.83333333333333337</v>
      </c>
      <c r="L8" s="56">
        <f t="shared" si="3"/>
        <v>24</v>
      </c>
    </row>
    <row r="9" spans="1:14" ht="24" thickBot="1" x14ac:dyDescent="0.6">
      <c r="A9" s="2" t="s">
        <v>14</v>
      </c>
      <c r="B9" s="51" t="s">
        <v>9</v>
      </c>
      <c r="C9" s="50" t="s">
        <v>15</v>
      </c>
      <c r="G9" s="60" t="s">
        <v>120</v>
      </c>
      <c r="H9" s="61" t="s">
        <v>98</v>
      </c>
      <c r="I9" s="61" t="s">
        <v>102</v>
      </c>
      <c r="J9" s="61" t="s">
        <v>113</v>
      </c>
      <c r="K9" s="61" t="s">
        <v>114</v>
      </c>
      <c r="L9" s="61" t="s">
        <v>112</v>
      </c>
    </row>
    <row r="10" spans="1:14" ht="24" thickTop="1" x14ac:dyDescent="0.55000000000000004">
      <c r="A10" s="2" t="s">
        <v>14</v>
      </c>
      <c r="B10" s="51" t="s">
        <v>10</v>
      </c>
      <c r="C10" s="50" t="s">
        <v>15</v>
      </c>
      <c r="G10" s="58" t="s">
        <v>8</v>
      </c>
      <c r="H10" s="56">
        <f t="shared" ref="H10:I15" si="4">COUNTIFS($B:$B,$G10,$C:$C,H$2)</f>
        <v>21</v>
      </c>
      <c r="I10" s="56">
        <f t="shared" si="4"/>
        <v>3</v>
      </c>
      <c r="J10" s="57">
        <f t="shared" ref="J10:J15" si="5">H10/L10</f>
        <v>0.875</v>
      </c>
      <c r="K10" s="57">
        <f t="shared" ref="K10:K15" si="6">I10/L10</f>
        <v>0.125</v>
      </c>
      <c r="L10" s="56">
        <f t="shared" ref="L10:L15" si="7">H10+I10</f>
        <v>24</v>
      </c>
    </row>
    <row r="11" spans="1:14" ht="23.5" x14ac:dyDescent="0.55000000000000004">
      <c r="A11" s="2" t="s">
        <v>14</v>
      </c>
      <c r="B11" s="51" t="s">
        <v>11</v>
      </c>
      <c r="C11" s="50" t="s">
        <v>15</v>
      </c>
      <c r="G11" s="58" t="s">
        <v>9</v>
      </c>
      <c r="H11" s="56">
        <f t="shared" si="4"/>
        <v>21</v>
      </c>
      <c r="I11" s="56">
        <f t="shared" si="4"/>
        <v>3</v>
      </c>
      <c r="J11" s="57">
        <f t="shared" si="5"/>
        <v>0.875</v>
      </c>
      <c r="K11" s="57">
        <f t="shared" si="6"/>
        <v>0.125</v>
      </c>
      <c r="L11" s="56">
        <f t="shared" si="7"/>
        <v>24</v>
      </c>
    </row>
    <row r="12" spans="1:14" ht="23.5" x14ac:dyDescent="0.55000000000000004">
      <c r="A12" s="2" t="s">
        <v>14</v>
      </c>
      <c r="B12" s="51" t="s">
        <v>12</v>
      </c>
      <c r="C12" s="50" t="s">
        <v>16</v>
      </c>
      <c r="G12" s="58" t="s">
        <v>10</v>
      </c>
      <c r="H12" s="56">
        <f t="shared" si="4"/>
        <v>19</v>
      </c>
      <c r="I12" s="56">
        <f t="shared" si="4"/>
        <v>5</v>
      </c>
      <c r="J12" s="57">
        <f t="shared" si="5"/>
        <v>0.79166666666666663</v>
      </c>
      <c r="K12" s="57">
        <f t="shared" si="6"/>
        <v>0.20833333333333334</v>
      </c>
      <c r="L12" s="56">
        <f t="shared" si="7"/>
        <v>24</v>
      </c>
    </row>
    <row r="13" spans="1:14" ht="23.5" x14ac:dyDescent="0.55000000000000004">
      <c r="A13" s="2" t="s">
        <v>14</v>
      </c>
      <c r="B13" s="49" t="s">
        <v>13</v>
      </c>
      <c r="C13" s="50" t="s">
        <v>15</v>
      </c>
      <c r="G13" s="58" t="s">
        <v>11</v>
      </c>
      <c r="H13" s="56">
        <f t="shared" si="4"/>
        <v>19</v>
      </c>
      <c r="I13" s="56">
        <f t="shared" si="4"/>
        <v>5</v>
      </c>
      <c r="J13" s="57">
        <f t="shared" si="5"/>
        <v>0.79166666666666663</v>
      </c>
      <c r="K13" s="57">
        <f t="shared" si="6"/>
        <v>0.20833333333333334</v>
      </c>
      <c r="L13" s="56">
        <f t="shared" si="7"/>
        <v>24</v>
      </c>
    </row>
    <row r="14" spans="1:14" ht="23.5" x14ac:dyDescent="0.4">
      <c r="A14" s="2" t="s">
        <v>17</v>
      </c>
      <c r="B14" s="1" t="s">
        <v>2</v>
      </c>
      <c r="C14" s="4" t="s">
        <v>15</v>
      </c>
      <c r="G14" s="58" t="s">
        <v>12</v>
      </c>
      <c r="H14" s="56">
        <f t="shared" si="4"/>
        <v>7</v>
      </c>
      <c r="I14" s="56">
        <f t="shared" si="4"/>
        <v>16</v>
      </c>
      <c r="J14" s="57">
        <f t="shared" si="5"/>
        <v>0.30434782608695654</v>
      </c>
      <c r="K14" s="57">
        <f t="shared" si="6"/>
        <v>0.69565217391304346</v>
      </c>
      <c r="L14" s="56">
        <f t="shared" si="7"/>
        <v>23</v>
      </c>
    </row>
    <row r="15" spans="1:14" ht="24" thickBot="1" x14ac:dyDescent="0.6">
      <c r="A15" s="2" t="s">
        <v>17</v>
      </c>
      <c r="B15" s="49" t="s">
        <v>3</v>
      </c>
      <c r="C15" s="50" t="s">
        <v>15</v>
      </c>
      <c r="G15" s="62" t="s">
        <v>13</v>
      </c>
      <c r="H15" s="63">
        <f t="shared" si="4"/>
        <v>13</v>
      </c>
      <c r="I15" s="63">
        <f t="shared" si="4"/>
        <v>13</v>
      </c>
      <c r="J15" s="64">
        <f t="shared" si="5"/>
        <v>0.5</v>
      </c>
      <c r="K15" s="64">
        <f t="shared" si="6"/>
        <v>0.5</v>
      </c>
      <c r="L15" s="63">
        <f t="shared" si="7"/>
        <v>26</v>
      </c>
    </row>
    <row r="16" spans="1:14" ht="24" thickTop="1" x14ac:dyDescent="0.55000000000000004">
      <c r="A16" s="2" t="s">
        <v>17</v>
      </c>
      <c r="B16" s="51" t="s">
        <v>4</v>
      </c>
      <c r="C16" s="50">
        <v>10</v>
      </c>
    </row>
    <row r="17" spans="1:3" ht="23.5" x14ac:dyDescent="0.55000000000000004">
      <c r="A17" s="2" t="s">
        <v>17</v>
      </c>
      <c r="B17" s="51" t="s">
        <v>5</v>
      </c>
      <c r="C17" s="50" t="s">
        <v>15</v>
      </c>
    </row>
    <row r="18" spans="1:3" ht="23.5" x14ac:dyDescent="0.55000000000000004">
      <c r="A18" s="2" t="s">
        <v>17</v>
      </c>
      <c r="B18" s="51" t="s">
        <v>6</v>
      </c>
      <c r="C18" s="50" t="s">
        <v>15</v>
      </c>
    </row>
    <row r="19" spans="1:3" ht="23.5" x14ac:dyDescent="0.55000000000000004">
      <c r="A19" s="2" t="s">
        <v>17</v>
      </c>
      <c r="B19" s="51" t="s">
        <v>7</v>
      </c>
      <c r="C19" s="50" t="s">
        <v>16</v>
      </c>
    </row>
    <row r="20" spans="1:3" ht="23.5" x14ac:dyDescent="0.55000000000000004">
      <c r="A20" s="2" t="s">
        <v>17</v>
      </c>
      <c r="B20" s="51" t="s">
        <v>8</v>
      </c>
      <c r="C20" s="50" t="s">
        <v>15</v>
      </c>
    </row>
    <row r="21" spans="1:3" ht="23.5" x14ac:dyDescent="0.55000000000000004">
      <c r="A21" s="2" t="s">
        <v>17</v>
      </c>
      <c r="B21" s="51" t="s">
        <v>9</v>
      </c>
      <c r="C21" s="50" t="s">
        <v>15</v>
      </c>
    </row>
    <row r="22" spans="1:3" ht="23.5" x14ac:dyDescent="0.55000000000000004">
      <c r="A22" s="2" t="s">
        <v>17</v>
      </c>
      <c r="B22" s="51" t="s">
        <v>10</v>
      </c>
      <c r="C22" s="50" t="s">
        <v>15</v>
      </c>
    </row>
    <row r="23" spans="1:3" ht="23.5" x14ac:dyDescent="0.55000000000000004">
      <c r="A23" s="2" t="s">
        <v>17</v>
      </c>
      <c r="B23" s="51" t="s">
        <v>11</v>
      </c>
      <c r="C23" s="50" t="s">
        <v>15</v>
      </c>
    </row>
    <row r="24" spans="1:3" ht="23.5" x14ac:dyDescent="0.55000000000000004">
      <c r="A24" s="2" t="s">
        <v>17</v>
      </c>
      <c r="B24" s="51" t="s">
        <v>12</v>
      </c>
      <c r="C24" s="50" t="s">
        <v>16</v>
      </c>
    </row>
    <row r="25" spans="1:3" ht="23.5" x14ac:dyDescent="0.55000000000000004">
      <c r="A25" s="2" t="s">
        <v>17</v>
      </c>
      <c r="B25" s="49" t="s">
        <v>13</v>
      </c>
      <c r="C25" s="50" t="s">
        <v>15</v>
      </c>
    </row>
    <row r="26" spans="1:3" ht="23.5" x14ac:dyDescent="0.4">
      <c r="A26" s="2" t="s">
        <v>18</v>
      </c>
      <c r="B26" s="1" t="s">
        <v>2</v>
      </c>
      <c r="C26" s="4" t="s">
        <v>16</v>
      </c>
    </row>
    <row r="27" spans="1:3" ht="23.5" x14ac:dyDescent="0.55000000000000004">
      <c r="A27" s="2" t="s">
        <v>18</v>
      </c>
      <c r="B27" s="49" t="s">
        <v>3</v>
      </c>
      <c r="C27" s="50" t="s">
        <v>15</v>
      </c>
    </row>
    <row r="28" spans="1:3" ht="23.5" x14ac:dyDescent="0.55000000000000004">
      <c r="A28" s="2" t="s">
        <v>18</v>
      </c>
      <c r="B28" s="51" t="s">
        <v>4</v>
      </c>
      <c r="C28" s="50">
        <v>8</v>
      </c>
    </row>
    <row r="29" spans="1:3" ht="23.5" x14ac:dyDescent="0.55000000000000004">
      <c r="A29" s="2" t="s">
        <v>18</v>
      </c>
      <c r="B29" s="51" t="s">
        <v>5</v>
      </c>
      <c r="C29" s="50" t="s">
        <v>16</v>
      </c>
    </row>
    <row r="30" spans="1:3" ht="23.5" x14ac:dyDescent="0.55000000000000004">
      <c r="A30" s="2" t="s">
        <v>18</v>
      </c>
      <c r="B30" s="51" t="s">
        <v>6</v>
      </c>
      <c r="C30" s="50" t="s">
        <v>15</v>
      </c>
    </row>
    <row r="31" spans="1:3" ht="23.5" x14ac:dyDescent="0.55000000000000004">
      <c r="A31" s="2" t="s">
        <v>18</v>
      </c>
      <c r="B31" s="51" t="s">
        <v>7</v>
      </c>
      <c r="C31" s="50" t="s">
        <v>15</v>
      </c>
    </row>
    <row r="32" spans="1:3" ht="23.5" x14ac:dyDescent="0.55000000000000004">
      <c r="A32" s="2" t="s">
        <v>18</v>
      </c>
      <c r="B32" s="51" t="s">
        <v>8</v>
      </c>
      <c r="C32" s="50" t="s">
        <v>15</v>
      </c>
    </row>
    <row r="33" spans="1:3" ht="23.5" x14ac:dyDescent="0.55000000000000004">
      <c r="A33" s="2" t="s">
        <v>18</v>
      </c>
      <c r="B33" s="51" t="s">
        <v>9</v>
      </c>
      <c r="C33" s="50" t="s">
        <v>15</v>
      </c>
    </row>
    <row r="34" spans="1:3" ht="23.5" x14ac:dyDescent="0.55000000000000004">
      <c r="A34" s="2" t="s">
        <v>18</v>
      </c>
      <c r="B34" s="51" t="s">
        <v>10</v>
      </c>
      <c r="C34" s="50" t="s">
        <v>15</v>
      </c>
    </row>
    <row r="35" spans="1:3" ht="23.5" x14ac:dyDescent="0.55000000000000004">
      <c r="A35" s="2" t="s">
        <v>18</v>
      </c>
      <c r="B35" s="51" t="s">
        <v>11</v>
      </c>
      <c r="C35" s="50" t="s">
        <v>15</v>
      </c>
    </row>
    <row r="36" spans="1:3" ht="23.5" x14ac:dyDescent="0.55000000000000004">
      <c r="A36" s="2" t="s">
        <v>18</v>
      </c>
      <c r="B36" s="51" t="s">
        <v>12</v>
      </c>
      <c r="C36" s="50" t="s">
        <v>15</v>
      </c>
    </row>
    <row r="37" spans="1:3" ht="23.5" x14ac:dyDescent="0.55000000000000004">
      <c r="A37" s="2" t="s">
        <v>18</v>
      </c>
      <c r="B37" s="49" t="s">
        <v>13</v>
      </c>
      <c r="C37" s="50" t="s">
        <v>16</v>
      </c>
    </row>
    <row r="38" spans="1:3" ht="23.5" x14ac:dyDescent="0.4">
      <c r="A38" s="2" t="s">
        <v>19</v>
      </c>
      <c r="B38" s="1" t="s">
        <v>2</v>
      </c>
      <c r="C38" s="4" t="s">
        <v>20</v>
      </c>
    </row>
    <row r="39" spans="1:3" ht="23.5" x14ac:dyDescent="0.55000000000000004">
      <c r="A39" s="2" t="s">
        <v>19</v>
      </c>
      <c r="B39" s="49" t="s">
        <v>3</v>
      </c>
      <c r="C39" s="50" t="s">
        <v>16</v>
      </c>
    </row>
    <row r="40" spans="1:3" ht="23.5" x14ac:dyDescent="0.4">
      <c r="A40" s="2" t="s">
        <v>21</v>
      </c>
      <c r="B40" s="1" t="s">
        <v>2</v>
      </c>
      <c r="C40" s="4" t="s">
        <v>15</v>
      </c>
    </row>
    <row r="41" spans="1:3" ht="23.5" x14ac:dyDescent="0.55000000000000004">
      <c r="A41" s="2" t="s">
        <v>21</v>
      </c>
      <c r="B41" s="49" t="s">
        <v>3</v>
      </c>
      <c r="C41" s="50" t="s">
        <v>16</v>
      </c>
    </row>
    <row r="42" spans="1:3" ht="23.5" x14ac:dyDescent="0.55000000000000004">
      <c r="A42" s="2" t="s">
        <v>21</v>
      </c>
      <c r="B42" s="51" t="s">
        <v>4</v>
      </c>
      <c r="C42" s="50">
        <v>5</v>
      </c>
    </row>
    <row r="43" spans="1:3" ht="23.5" x14ac:dyDescent="0.55000000000000004">
      <c r="A43" s="2" t="s">
        <v>21</v>
      </c>
      <c r="B43" s="51" t="s">
        <v>5</v>
      </c>
      <c r="C43" s="50" t="s">
        <v>15</v>
      </c>
    </row>
    <row r="44" spans="1:3" ht="23.5" x14ac:dyDescent="0.55000000000000004">
      <c r="A44" s="2" t="s">
        <v>21</v>
      </c>
      <c r="B44" s="51" t="s">
        <v>6</v>
      </c>
      <c r="C44" s="50" t="s">
        <v>15</v>
      </c>
    </row>
    <row r="45" spans="1:3" ht="23.5" x14ac:dyDescent="0.55000000000000004">
      <c r="A45" s="2" t="s">
        <v>21</v>
      </c>
      <c r="B45" s="51" t="s">
        <v>7</v>
      </c>
      <c r="C45" s="50" t="s">
        <v>16</v>
      </c>
    </row>
    <row r="46" spans="1:3" ht="23.5" x14ac:dyDescent="0.55000000000000004">
      <c r="A46" s="2" t="s">
        <v>21</v>
      </c>
      <c r="B46" s="51" t="s">
        <v>8</v>
      </c>
      <c r="C46" s="50" t="s">
        <v>16</v>
      </c>
    </row>
    <row r="47" spans="1:3" ht="23.5" x14ac:dyDescent="0.55000000000000004">
      <c r="A47" s="2" t="s">
        <v>21</v>
      </c>
      <c r="B47" s="51" t="s">
        <v>9</v>
      </c>
      <c r="C47" s="50" t="s">
        <v>15</v>
      </c>
    </row>
    <row r="48" spans="1:3" ht="23.5" x14ac:dyDescent="0.55000000000000004">
      <c r="A48" s="2" t="s">
        <v>21</v>
      </c>
      <c r="B48" s="51" t="s">
        <v>10</v>
      </c>
      <c r="C48" s="50" t="s">
        <v>16</v>
      </c>
    </row>
    <row r="49" spans="1:3" ht="23.5" x14ac:dyDescent="0.55000000000000004">
      <c r="A49" s="2" t="s">
        <v>21</v>
      </c>
      <c r="B49" s="51" t="s">
        <v>11</v>
      </c>
      <c r="C49" s="50" t="s">
        <v>16</v>
      </c>
    </row>
    <row r="50" spans="1:3" ht="23.5" x14ac:dyDescent="0.55000000000000004">
      <c r="A50" s="2" t="s">
        <v>21</v>
      </c>
      <c r="B50" s="51" t="s">
        <v>12</v>
      </c>
      <c r="C50" s="50" t="s">
        <v>16</v>
      </c>
    </row>
    <row r="51" spans="1:3" ht="23.5" x14ac:dyDescent="0.55000000000000004">
      <c r="A51" s="2" t="s">
        <v>21</v>
      </c>
      <c r="B51" s="49" t="s">
        <v>13</v>
      </c>
      <c r="C51" s="50" t="s">
        <v>16</v>
      </c>
    </row>
    <row r="52" spans="1:3" ht="23.5" x14ac:dyDescent="0.4">
      <c r="A52" s="2" t="s">
        <v>22</v>
      </c>
      <c r="B52" s="1" t="s">
        <v>2</v>
      </c>
      <c r="C52" s="4" t="s">
        <v>20</v>
      </c>
    </row>
    <row r="53" spans="1:3" ht="23.5" x14ac:dyDescent="0.55000000000000004">
      <c r="A53" s="2" t="s">
        <v>22</v>
      </c>
      <c r="B53" s="49" t="s">
        <v>3</v>
      </c>
      <c r="C53" s="50" t="s">
        <v>16</v>
      </c>
    </row>
    <row r="54" spans="1:3" ht="23.5" x14ac:dyDescent="0.55000000000000004">
      <c r="A54" s="2" t="s">
        <v>22</v>
      </c>
      <c r="B54" s="49" t="s">
        <v>13</v>
      </c>
      <c r="C54" s="50" t="s">
        <v>16</v>
      </c>
    </row>
    <row r="55" spans="1:3" ht="23.5" x14ac:dyDescent="0.4">
      <c r="A55" s="2" t="s">
        <v>23</v>
      </c>
      <c r="B55" s="1" t="s">
        <v>2</v>
      </c>
      <c r="C55" s="4" t="s">
        <v>15</v>
      </c>
    </row>
    <row r="56" spans="1:3" ht="23.5" x14ac:dyDescent="0.55000000000000004">
      <c r="A56" s="2" t="s">
        <v>23</v>
      </c>
      <c r="B56" s="49" t="s">
        <v>3</v>
      </c>
      <c r="C56" s="50" t="s">
        <v>15</v>
      </c>
    </row>
    <row r="57" spans="1:3" ht="23.5" x14ac:dyDescent="0.55000000000000004">
      <c r="A57" s="2" t="s">
        <v>23</v>
      </c>
      <c r="B57" s="51" t="s">
        <v>4</v>
      </c>
      <c r="C57" s="50">
        <v>8</v>
      </c>
    </row>
    <row r="58" spans="1:3" ht="23.5" x14ac:dyDescent="0.55000000000000004">
      <c r="A58" s="2" t="s">
        <v>23</v>
      </c>
      <c r="B58" s="51" t="s">
        <v>5</v>
      </c>
      <c r="C58" s="50" t="s">
        <v>15</v>
      </c>
    </row>
    <row r="59" spans="1:3" ht="23.5" x14ac:dyDescent="0.55000000000000004">
      <c r="A59" s="2" t="s">
        <v>23</v>
      </c>
      <c r="B59" s="51" t="s">
        <v>6</v>
      </c>
      <c r="C59" s="50" t="s">
        <v>15</v>
      </c>
    </row>
    <row r="60" spans="1:3" ht="23.5" x14ac:dyDescent="0.55000000000000004">
      <c r="A60" s="2" t="s">
        <v>23</v>
      </c>
      <c r="B60" s="51" t="s">
        <v>7</v>
      </c>
      <c r="C60" s="50" t="s">
        <v>16</v>
      </c>
    </row>
    <row r="61" spans="1:3" ht="23.5" x14ac:dyDescent="0.55000000000000004">
      <c r="A61" s="2" t="s">
        <v>23</v>
      </c>
      <c r="B61" s="51" t="s">
        <v>8</v>
      </c>
      <c r="C61" s="50" t="s">
        <v>15</v>
      </c>
    </row>
    <row r="62" spans="1:3" ht="23.5" x14ac:dyDescent="0.55000000000000004">
      <c r="A62" s="2" t="s">
        <v>23</v>
      </c>
      <c r="B62" s="51" t="s">
        <v>9</v>
      </c>
      <c r="C62" s="50" t="s">
        <v>15</v>
      </c>
    </row>
    <row r="63" spans="1:3" ht="23.5" x14ac:dyDescent="0.55000000000000004">
      <c r="A63" s="2" t="s">
        <v>23</v>
      </c>
      <c r="B63" s="51" t="s">
        <v>10</v>
      </c>
      <c r="C63" s="50" t="s">
        <v>15</v>
      </c>
    </row>
    <row r="64" spans="1:3" ht="23.5" x14ac:dyDescent="0.55000000000000004">
      <c r="A64" s="2" t="s">
        <v>23</v>
      </c>
      <c r="B64" s="51" t="s">
        <v>11</v>
      </c>
      <c r="C64" s="50" t="s">
        <v>15</v>
      </c>
    </row>
    <row r="65" spans="1:3" ht="23.5" x14ac:dyDescent="0.55000000000000004">
      <c r="A65" s="2" t="s">
        <v>23</v>
      </c>
      <c r="B65" s="51" t="s">
        <v>12</v>
      </c>
      <c r="C65" s="50" t="s">
        <v>16</v>
      </c>
    </row>
    <row r="66" spans="1:3" ht="23.5" x14ac:dyDescent="0.55000000000000004">
      <c r="A66" s="2" t="s">
        <v>23</v>
      </c>
      <c r="B66" s="49" t="s">
        <v>13</v>
      </c>
      <c r="C66" s="50" t="s">
        <v>16</v>
      </c>
    </row>
    <row r="67" spans="1:3" ht="23.5" x14ac:dyDescent="0.4">
      <c r="A67" s="2" t="s">
        <v>24</v>
      </c>
      <c r="B67" s="1" t="s">
        <v>2</v>
      </c>
      <c r="C67" s="4" t="s">
        <v>15</v>
      </c>
    </row>
    <row r="68" spans="1:3" ht="23.5" x14ac:dyDescent="0.55000000000000004">
      <c r="A68" s="2" t="s">
        <v>24</v>
      </c>
      <c r="B68" s="49" t="s">
        <v>3</v>
      </c>
      <c r="C68" s="50" t="s">
        <v>15</v>
      </c>
    </row>
    <row r="69" spans="1:3" ht="23.5" x14ac:dyDescent="0.55000000000000004">
      <c r="A69" s="2" t="s">
        <v>24</v>
      </c>
      <c r="B69" s="51" t="s">
        <v>4</v>
      </c>
      <c r="C69" s="50">
        <v>5</v>
      </c>
    </row>
    <row r="70" spans="1:3" ht="23.5" x14ac:dyDescent="0.55000000000000004">
      <c r="A70" s="2" t="s">
        <v>24</v>
      </c>
      <c r="B70" s="51" t="s">
        <v>5</v>
      </c>
      <c r="C70" s="50" t="s">
        <v>16</v>
      </c>
    </row>
    <row r="71" spans="1:3" ht="23.5" x14ac:dyDescent="0.55000000000000004">
      <c r="A71" s="2" t="s">
        <v>24</v>
      </c>
      <c r="B71" s="51" t="s">
        <v>6</v>
      </c>
      <c r="C71" s="50" t="s">
        <v>16</v>
      </c>
    </row>
    <row r="72" spans="1:3" ht="23.5" x14ac:dyDescent="0.55000000000000004">
      <c r="A72" s="2" t="s">
        <v>24</v>
      </c>
      <c r="B72" s="51" t="s">
        <v>7</v>
      </c>
      <c r="C72" s="50" t="s">
        <v>16</v>
      </c>
    </row>
    <row r="73" spans="1:3" ht="23.5" x14ac:dyDescent="0.55000000000000004">
      <c r="A73" s="2" t="s">
        <v>24</v>
      </c>
      <c r="B73" s="51" t="s">
        <v>8</v>
      </c>
      <c r="C73" s="50" t="s">
        <v>16</v>
      </c>
    </row>
    <row r="74" spans="1:3" ht="23.5" x14ac:dyDescent="0.55000000000000004">
      <c r="A74" s="2" t="s">
        <v>24</v>
      </c>
      <c r="B74" s="51" t="s">
        <v>9</v>
      </c>
      <c r="C74" s="50" t="s">
        <v>16</v>
      </c>
    </row>
    <row r="75" spans="1:3" ht="23.5" x14ac:dyDescent="0.55000000000000004">
      <c r="A75" s="2" t="s">
        <v>24</v>
      </c>
      <c r="B75" s="51" t="s">
        <v>10</v>
      </c>
      <c r="C75" s="50" t="s">
        <v>16</v>
      </c>
    </row>
    <row r="76" spans="1:3" ht="23.5" x14ac:dyDescent="0.55000000000000004">
      <c r="A76" s="2" t="s">
        <v>24</v>
      </c>
      <c r="B76" s="51" t="s">
        <v>11</v>
      </c>
      <c r="C76" s="50" t="s">
        <v>16</v>
      </c>
    </row>
    <row r="77" spans="1:3" ht="23.5" x14ac:dyDescent="0.55000000000000004">
      <c r="A77" s="2" t="s">
        <v>24</v>
      </c>
      <c r="B77" s="51" t="s">
        <v>12</v>
      </c>
      <c r="C77" s="50" t="s">
        <v>16</v>
      </c>
    </row>
    <row r="78" spans="1:3" ht="23.5" x14ac:dyDescent="0.55000000000000004">
      <c r="A78" s="2" t="s">
        <v>24</v>
      </c>
      <c r="B78" s="49" t="s">
        <v>13</v>
      </c>
      <c r="C78" s="50" t="s">
        <v>16</v>
      </c>
    </row>
    <row r="79" spans="1:3" ht="23.5" x14ac:dyDescent="0.4">
      <c r="A79" s="2" t="s">
        <v>25</v>
      </c>
      <c r="B79" s="1" t="s">
        <v>2</v>
      </c>
      <c r="C79" s="4" t="s">
        <v>20</v>
      </c>
    </row>
    <row r="80" spans="1:3" ht="23.5" x14ac:dyDescent="0.55000000000000004">
      <c r="A80" s="2" t="s">
        <v>25</v>
      </c>
      <c r="B80" s="49" t="s">
        <v>3</v>
      </c>
      <c r="C80" s="50" t="s">
        <v>16</v>
      </c>
    </row>
    <row r="81" spans="1:3" ht="23.5" x14ac:dyDescent="0.4">
      <c r="A81" s="2" t="s">
        <v>26</v>
      </c>
      <c r="B81" s="1" t="s">
        <v>2</v>
      </c>
      <c r="C81" s="4" t="s">
        <v>15</v>
      </c>
    </row>
    <row r="82" spans="1:3" ht="23.5" x14ac:dyDescent="0.55000000000000004">
      <c r="A82" s="2" t="s">
        <v>26</v>
      </c>
      <c r="B82" s="49" t="s">
        <v>3</v>
      </c>
      <c r="C82" s="50" t="s">
        <v>15</v>
      </c>
    </row>
    <row r="83" spans="1:3" ht="23.5" x14ac:dyDescent="0.55000000000000004">
      <c r="A83" s="2" t="s">
        <v>26</v>
      </c>
      <c r="B83" s="51" t="s">
        <v>4</v>
      </c>
      <c r="C83" s="50">
        <v>5</v>
      </c>
    </row>
    <row r="84" spans="1:3" ht="23.5" x14ac:dyDescent="0.55000000000000004">
      <c r="A84" s="2" t="s">
        <v>26</v>
      </c>
      <c r="B84" s="51" t="s">
        <v>5</v>
      </c>
      <c r="C84" s="50" t="s">
        <v>15</v>
      </c>
    </row>
    <row r="85" spans="1:3" ht="23.5" x14ac:dyDescent="0.55000000000000004">
      <c r="A85" s="2" t="s">
        <v>26</v>
      </c>
      <c r="B85" s="51" t="s">
        <v>6</v>
      </c>
      <c r="C85" s="50" t="s">
        <v>15</v>
      </c>
    </row>
    <row r="86" spans="1:3" ht="23.5" x14ac:dyDescent="0.55000000000000004">
      <c r="A86" s="2" t="s">
        <v>26</v>
      </c>
      <c r="B86" s="51" t="s">
        <v>7</v>
      </c>
      <c r="C86" s="50" t="s">
        <v>16</v>
      </c>
    </row>
    <row r="87" spans="1:3" ht="23.5" x14ac:dyDescent="0.55000000000000004">
      <c r="A87" s="2" t="s">
        <v>26</v>
      </c>
      <c r="B87" s="51" t="s">
        <v>8</v>
      </c>
      <c r="C87" s="50" t="s">
        <v>15</v>
      </c>
    </row>
    <row r="88" spans="1:3" ht="23.5" x14ac:dyDescent="0.55000000000000004">
      <c r="A88" s="2" t="s">
        <v>26</v>
      </c>
      <c r="B88" s="51" t="s">
        <v>9</v>
      </c>
      <c r="C88" s="50" t="s">
        <v>15</v>
      </c>
    </row>
    <row r="89" spans="1:3" ht="23.5" x14ac:dyDescent="0.55000000000000004">
      <c r="A89" s="2" t="s">
        <v>26</v>
      </c>
      <c r="B89" s="51" t="s">
        <v>10</v>
      </c>
      <c r="C89" s="50" t="s">
        <v>15</v>
      </c>
    </row>
    <row r="90" spans="1:3" ht="23.5" x14ac:dyDescent="0.55000000000000004">
      <c r="A90" s="2" t="s">
        <v>26</v>
      </c>
      <c r="B90" s="51" t="s">
        <v>11</v>
      </c>
      <c r="C90" s="50" t="s">
        <v>15</v>
      </c>
    </row>
    <row r="91" spans="1:3" ht="23.5" x14ac:dyDescent="0.55000000000000004">
      <c r="A91" s="2" t="s">
        <v>26</v>
      </c>
      <c r="B91" s="51" t="s">
        <v>12</v>
      </c>
      <c r="C91" s="50" t="s">
        <v>16</v>
      </c>
    </row>
    <row r="92" spans="1:3" ht="23.5" x14ac:dyDescent="0.55000000000000004">
      <c r="A92" s="2" t="s">
        <v>26</v>
      </c>
      <c r="B92" s="49" t="s">
        <v>13</v>
      </c>
      <c r="C92" s="50" t="s">
        <v>15</v>
      </c>
    </row>
    <row r="93" spans="1:3" ht="23.5" x14ac:dyDescent="0.4">
      <c r="A93" s="2" t="s">
        <v>27</v>
      </c>
      <c r="B93" s="1" t="s">
        <v>2</v>
      </c>
      <c r="C93" s="4" t="s">
        <v>15</v>
      </c>
    </row>
    <row r="94" spans="1:3" ht="23.5" x14ac:dyDescent="0.55000000000000004">
      <c r="A94" s="2" t="s">
        <v>27</v>
      </c>
      <c r="B94" s="49" t="s">
        <v>3</v>
      </c>
      <c r="C94" s="50" t="s">
        <v>15</v>
      </c>
    </row>
    <row r="95" spans="1:3" ht="23.5" x14ac:dyDescent="0.55000000000000004">
      <c r="A95" s="2" t="s">
        <v>27</v>
      </c>
      <c r="B95" s="51" t="s">
        <v>4</v>
      </c>
      <c r="C95" s="50">
        <v>5</v>
      </c>
    </row>
    <row r="96" spans="1:3" ht="23.5" x14ac:dyDescent="0.55000000000000004">
      <c r="A96" s="2" t="s">
        <v>27</v>
      </c>
      <c r="B96" s="51" t="s">
        <v>5</v>
      </c>
      <c r="C96" s="50" t="s">
        <v>15</v>
      </c>
    </row>
    <row r="97" spans="1:3" ht="23.5" x14ac:dyDescent="0.55000000000000004">
      <c r="A97" s="2" t="s">
        <v>27</v>
      </c>
      <c r="B97" s="51" t="s">
        <v>6</v>
      </c>
      <c r="C97" s="50" t="s">
        <v>15</v>
      </c>
    </row>
    <row r="98" spans="1:3" ht="23.5" x14ac:dyDescent="0.55000000000000004">
      <c r="A98" s="2" t="s">
        <v>27</v>
      </c>
      <c r="B98" s="51" t="s">
        <v>7</v>
      </c>
      <c r="C98" s="50" t="s">
        <v>16</v>
      </c>
    </row>
    <row r="99" spans="1:3" ht="23.5" x14ac:dyDescent="0.55000000000000004">
      <c r="A99" s="2" t="s">
        <v>27</v>
      </c>
      <c r="B99" s="51" t="s">
        <v>8</v>
      </c>
      <c r="C99" s="50" t="s">
        <v>15</v>
      </c>
    </row>
    <row r="100" spans="1:3" ht="23.5" x14ac:dyDescent="0.55000000000000004">
      <c r="A100" s="2" t="s">
        <v>27</v>
      </c>
      <c r="B100" s="51" t="s">
        <v>9</v>
      </c>
      <c r="C100" s="50" t="s">
        <v>15</v>
      </c>
    </row>
    <row r="101" spans="1:3" ht="23.5" x14ac:dyDescent="0.55000000000000004">
      <c r="A101" s="2" t="s">
        <v>27</v>
      </c>
      <c r="B101" s="51" t="s">
        <v>10</v>
      </c>
      <c r="C101" s="50" t="s">
        <v>15</v>
      </c>
    </row>
    <row r="102" spans="1:3" ht="23.5" x14ac:dyDescent="0.55000000000000004">
      <c r="A102" s="2" t="s">
        <v>27</v>
      </c>
      <c r="B102" s="51" t="s">
        <v>11</v>
      </c>
      <c r="C102" s="50" t="s">
        <v>15</v>
      </c>
    </row>
    <row r="103" spans="1:3" ht="23.5" x14ac:dyDescent="0.55000000000000004">
      <c r="A103" s="2" t="s">
        <v>27</v>
      </c>
      <c r="B103" s="51" t="s">
        <v>12</v>
      </c>
      <c r="C103" s="50" t="s">
        <v>15</v>
      </c>
    </row>
    <row r="104" spans="1:3" ht="23.5" x14ac:dyDescent="0.55000000000000004">
      <c r="A104" s="2" t="s">
        <v>27</v>
      </c>
      <c r="B104" s="49" t="s">
        <v>13</v>
      </c>
      <c r="C104" s="50" t="s">
        <v>15</v>
      </c>
    </row>
    <row r="105" spans="1:3" ht="23.5" x14ac:dyDescent="0.4">
      <c r="A105" s="2" t="s">
        <v>28</v>
      </c>
      <c r="B105" s="1" t="s">
        <v>2</v>
      </c>
      <c r="C105" s="4" t="s">
        <v>16</v>
      </c>
    </row>
    <row r="106" spans="1:3" ht="23.5" x14ac:dyDescent="0.55000000000000004">
      <c r="A106" s="2" t="s">
        <v>28</v>
      </c>
      <c r="B106" s="49" t="s">
        <v>3</v>
      </c>
      <c r="C106" s="50" t="s">
        <v>16</v>
      </c>
    </row>
    <row r="107" spans="1:3" ht="23.5" x14ac:dyDescent="0.55000000000000004">
      <c r="A107" s="2" t="s">
        <v>28</v>
      </c>
      <c r="B107" s="49" t="s">
        <v>13</v>
      </c>
      <c r="C107" s="50" t="s">
        <v>15</v>
      </c>
    </row>
    <row r="108" spans="1:3" ht="23.5" x14ac:dyDescent="0.4">
      <c r="A108" s="2" t="s">
        <v>29</v>
      </c>
      <c r="B108" s="1" t="s">
        <v>2</v>
      </c>
      <c r="C108" s="4" t="s">
        <v>15</v>
      </c>
    </row>
    <row r="109" spans="1:3" ht="23.5" x14ac:dyDescent="0.55000000000000004">
      <c r="A109" s="2" t="s">
        <v>29</v>
      </c>
      <c r="B109" s="49" t="s">
        <v>3</v>
      </c>
      <c r="C109" s="50" t="s">
        <v>15</v>
      </c>
    </row>
    <row r="110" spans="1:3" ht="23.5" x14ac:dyDescent="0.55000000000000004">
      <c r="A110" s="2" t="s">
        <v>29</v>
      </c>
      <c r="B110" s="51" t="s">
        <v>4</v>
      </c>
      <c r="C110" s="50">
        <v>5</v>
      </c>
    </row>
    <row r="111" spans="1:3" ht="23.5" x14ac:dyDescent="0.55000000000000004">
      <c r="A111" s="2" t="s">
        <v>29</v>
      </c>
      <c r="B111" s="51" t="s">
        <v>5</v>
      </c>
      <c r="C111" s="50" t="s">
        <v>15</v>
      </c>
    </row>
    <row r="112" spans="1:3" ht="23.5" x14ac:dyDescent="0.55000000000000004">
      <c r="A112" s="2" t="s">
        <v>29</v>
      </c>
      <c r="B112" s="51" t="s">
        <v>6</v>
      </c>
      <c r="C112" s="50" t="s">
        <v>15</v>
      </c>
    </row>
    <row r="113" spans="1:3" ht="23.5" x14ac:dyDescent="0.55000000000000004">
      <c r="A113" s="2" t="s">
        <v>29</v>
      </c>
      <c r="B113" s="51" t="s">
        <v>7</v>
      </c>
      <c r="C113" s="50" t="s">
        <v>16</v>
      </c>
    </row>
    <row r="114" spans="1:3" ht="23.5" x14ac:dyDescent="0.55000000000000004">
      <c r="A114" s="2" t="s">
        <v>29</v>
      </c>
      <c r="B114" s="51" t="s">
        <v>8</v>
      </c>
      <c r="C114" s="50" t="s">
        <v>15</v>
      </c>
    </row>
    <row r="115" spans="1:3" ht="23.5" x14ac:dyDescent="0.55000000000000004">
      <c r="A115" s="2" t="s">
        <v>29</v>
      </c>
      <c r="B115" s="51" t="s">
        <v>9</v>
      </c>
      <c r="C115" s="50" t="s">
        <v>15</v>
      </c>
    </row>
    <row r="116" spans="1:3" ht="23.5" x14ac:dyDescent="0.55000000000000004">
      <c r="A116" s="2" t="s">
        <v>29</v>
      </c>
      <c r="B116" s="51" t="s">
        <v>10</v>
      </c>
      <c r="C116" s="50" t="s">
        <v>15</v>
      </c>
    </row>
    <row r="117" spans="1:3" ht="23.5" x14ac:dyDescent="0.55000000000000004">
      <c r="A117" s="2" t="s">
        <v>29</v>
      </c>
      <c r="B117" s="51" t="s">
        <v>11</v>
      </c>
      <c r="C117" s="50" t="s">
        <v>15</v>
      </c>
    </row>
    <row r="118" spans="1:3" ht="23.5" x14ac:dyDescent="0.55000000000000004">
      <c r="A118" s="2" t="s">
        <v>29</v>
      </c>
      <c r="B118" s="51" t="s">
        <v>12</v>
      </c>
      <c r="C118" s="50" t="s">
        <v>15</v>
      </c>
    </row>
    <row r="119" spans="1:3" ht="23.5" x14ac:dyDescent="0.55000000000000004">
      <c r="A119" s="2" t="s">
        <v>29</v>
      </c>
      <c r="B119" s="49" t="s">
        <v>13</v>
      </c>
      <c r="C119" s="50" t="s">
        <v>15</v>
      </c>
    </row>
    <row r="120" spans="1:3" ht="23.5" x14ac:dyDescent="0.4">
      <c r="A120" s="2" t="s">
        <v>30</v>
      </c>
      <c r="B120" s="1" t="s">
        <v>2</v>
      </c>
      <c r="C120" s="4" t="s">
        <v>15</v>
      </c>
    </row>
    <row r="121" spans="1:3" ht="23.5" x14ac:dyDescent="0.55000000000000004">
      <c r="A121" s="2" t="s">
        <v>30</v>
      </c>
      <c r="B121" s="49" t="s">
        <v>3</v>
      </c>
      <c r="C121" s="50" t="s">
        <v>15</v>
      </c>
    </row>
    <row r="122" spans="1:3" ht="23.5" x14ac:dyDescent="0.55000000000000004">
      <c r="A122" s="2" t="s">
        <v>30</v>
      </c>
      <c r="B122" s="51" t="s">
        <v>4</v>
      </c>
      <c r="C122" s="50">
        <v>7</v>
      </c>
    </row>
    <row r="123" spans="1:3" ht="23.5" x14ac:dyDescent="0.55000000000000004">
      <c r="A123" s="2" t="s">
        <v>30</v>
      </c>
      <c r="B123" s="51" t="s">
        <v>5</v>
      </c>
      <c r="C123" s="50" t="s">
        <v>15</v>
      </c>
    </row>
    <row r="124" spans="1:3" ht="23.5" x14ac:dyDescent="0.55000000000000004">
      <c r="A124" s="2" t="s">
        <v>30</v>
      </c>
      <c r="B124" s="51" t="s">
        <v>6</v>
      </c>
      <c r="C124" s="50" t="s">
        <v>15</v>
      </c>
    </row>
    <row r="125" spans="1:3" ht="23.5" x14ac:dyDescent="0.55000000000000004">
      <c r="A125" s="2" t="s">
        <v>30</v>
      </c>
      <c r="B125" s="51" t="s">
        <v>7</v>
      </c>
      <c r="C125" s="50" t="s">
        <v>15</v>
      </c>
    </row>
    <row r="126" spans="1:3" ht="23.5" x14ac:dyDescent="0.55000000000000004">
      <c r="A126" s="2" t="s">
        <v>30</v>
      </c>
      <c r="B126" s="51" t="s">
        <v>8</v>
      </c>
      <c r="C126" s="50" t="s">
        <v>15</v>
      </c>
    </row>
    <row r="127" spans="1:3" ht="23.5" x14ac:dyDescent="0.55000000000000004">
      <c r="A127" s="2" t="s">
        <v>30</v>
      </c>
      <c r="B127" s="51" t="s">
        <v>9</v>
      </c>
      <c r="C127" s="50" t="s">
        <v>15</v>
      </c>
    </row>
    <row r="128" spans="1:3" ht="23.5" x14ac:dyDescent="0.55000000000000004">
      <c r="A128" s="2" t="s">
        <v>30</v>
      </c>
      <c r="B128" s="51" t="s">
        <v>10</v>
      </c>
      <c r="C128" s="50" t="s">
        <v>15</v>
      </c>
    </row>
    <row r="129" spans="1:3" ht="23.5" x14ac:dyDescent="0.55000000000000004">
      <c r="A129" s="2" t="s">
        <v>30</v>
      </c>
      <c r="B129" s="51" t="s">
        <v>11</v>
      </c>
      <c r="C129" s="50" t="s">
        <v>16</v>
      </c>
    </row>
    <row r="130" spans="1:3" ht="23.5" x14ac:dyDescent="0.55000000000000004">
      <c r="A130" s="2" t="s">
        <v>30</v>
      </c>
      <c r="B130" s="51" t="s">
        <v>12</v>
      </c>
      <c r="C130" s="50" t="s">
        <v>16</v>
      </c>
    </row>
    <row r="131" spans="1:3" ht="23.5" x14ac:dyDescent="0.55000000000000004">
      <c r="A131" s="2" t="s">
        <v>30</v>
      </c>
      <c r="B131" s="49" t="s">
        <v>13</v>
      </c>
      <c r="C131" s="50" t="s">
        <v>16</v>
      </c>
    </row>
    <row r="132" spans="1:3" ht="23.5" x14ac:dyDescent="0.4">
      <c r="A132" s="2" t="s">
        <v>31</v>
      </c>
      <c r="B132" s="1" t="s">
        <v>2</v>
      </c>
      <c r="C132" s="4" t="s">
        <v>15</v>
      </c>
    </row>
    <row r="133" spans="1:3" ht="23.5" x14ac:dyDescent="0.55000000000000004">
      <c r="A133" s="2" t="s">
        <v>31</v>
      </c>
      <c r="B133" s="49" t="s">
        <v>3</v>
      </c>
      <c r="C133" s="50" t="s">
        <v>16</v>
      </c>
    </row>
    <row r="134" spans="1:3" ht="23.5" x14ac:dyDescent="0.55000000000000004">
      <c r="A134" s="2" t="s">
        <v>31</v>
      </c>
      <c r="B134" s="51" t="s">
        <v>4</v>
      </c>
      <c r="C134" s="50">
        <v>10</v>
      </c>
    </row>
    <row r="135" spans="1:3" ht="23.5" x14ac:dyDescent="0.55000000000000004">
      <c r="A135" s="2" t="s">
        <v>31</v>
      </c>
      <c r="B135" s="51" t="s">
        <v>5</v>
      </c>
      <c r="C135" s="50" t="s">
        <v>15</v>
      </c>
    </row>
    <row r="136" spans="1:3" ht="23.5" x14ac:dyDescent="0.55000000000000004">
      <c r="A136" s="2" t="s">
        <v>31</v>
      </c>
      <c r="B136" s="51" t="s">
        <v>6</v>
      </c>
      <c r="C136" s="50" t="s">
        <v>15</v>
      </c>
    </row>
    <row r="137" spans="1:3" ht="23.5" x14ac:dyDescent="0.55000000000000004">
      <c r="A137" s="2" t="s">
        <v>31</v>
      </c>
      <c r="B137" s="51" t="s">
        <v>7</v>
      </c>
      <c r="C137" s="50" t="s">
        <v>16</v>
      </c>
    </row>
    <row r="138" spans="1:3" ht="23.5" x14ac:dyDescent="0.55000000000000004">
      <c r="A138" s="2" t="s">
        <v>31</v>
      </c>
      <c r="B138" s="51" t="s">
        <v>8</v>
      </c>
      <c r="C138" s="50" t="s">
        <v>15</v>
      </c>
    </row>
    <row r="139" spans="1:3" ht="23.5" x14ac:dyDescent="0.55000000000000004">
      <c r="A139" s="2" t="s">
        <v>31</v>
      </c>
      <c r="B139" s="51" t="s">
        <v>9</v>
      </c>
      <c r="C139" s="50" t="s">
        <v>15</v>
      </c>
    </row>
    <row r="140" spans="1:3" ht="23.5" x14ac:dyDescent="0.55000000000000004">
      <c r="A140" s="2" t="s">
        <v>31</v>
      </c>
      <c r="B140" s="51" t="s">
        <v>10</v>
      </c>
      <c r="C140" s="50" t="s">
        <v>15</v>
      </c>
    </row>
    <row r="141" spans="1:3" ht="23.5" x14ac:dyDescent="0.55000000000000004">
      <c r="A141" s="2" t="s">
        <v>31</v>
      </c>
      <c r="B141" s="51" t="s">
        <v>11</v>
      </c>
      <c r="C141" s="50" t="s">
        <v>15</v>
      </c>
    </row>
    <row r="142" spans="1:3" ht="23.5" x14ac:dyDescent="0.55000000000000004">
      <c r="A142" s="2" t="s">
        <v>31</v>
      </c>
      <c r="B142" s="51" t="s">
        <v>12</v>
      </c>
      <c r="C142" s="50" t="s">
        <v>16</v>
      </c>
    </row>
    <row r="143" spans="1:3" ht="23.5" x14ac:dyDescent="0.55000000000000004">
      <c r="A143" s="2" t="s">
        <v>31</v>
      </c>
      <c r="B143" s="49" t="s">
        <v>13</v>
      </c>
      <c r="C143" s="50" t="s">
        <v>15</v>
      </c>
    </row>
    <row r="144" spans="1:3" ht="23.5" x14ac:dyDescent="0.4">
      <c r="A144" s="2" t="s">
        <v>32</v>
      </c>
      <c r="B144" s="1" t="s">
        <v>2</v>
      </c>
      <c r="C144" s="4" t="s">
        <v>15</v>
      </c>
    </row>
    <row r="145" spans="1:3" ht="23.5" x14ac:dyDescent="0.55000000000000004">
      <c r="A145" s="2" t="s">
        <v>32</v>
      </c>
      <c r="B145" s="49" t="s">
        <v>3</v>
      </c>
      <c r="C145" s="50" t="s">
        <v>15</v>
      </c>
    </row>
    <row r="146" spans="1:3" ht="23.5" x14ac:dyDescent="0.55000000000000004">
      <c r="A146" s="2" t="s">
        <v>32</v>
      </c>
      <c r="B146" s="51" t="s">
        <v>4</v>
      </c>
      <c r="C146" s="50">
        <v>5</v>
      </c>
    </row>
    <row r="147" spans="1:3" ht="23.5" x14ac:dyDescent="0.55000000000000004">
      <c r="A147" s="2" t="s">
        <v>32</v>
      </c>
      <c r="B147" s="51" t="s">
        <v>5</v>
      </c>
      <c r="C147" s="50" t="s">
        <v>15</v>
      </c>
    </row>
    <row r="148" spans="1:3" ht="23.5" x14ac:dyDescent="0.55000000000000004">
      <c r="A148" s="2" t="s">
        <v>32</v>
      </c>
      <c r="B148" s="51" t="s">
        <v>6</v>
      </c>
      <c r="C148" s="50" t="s">
        <v>15</v>
      </c>
    </row>
    <row r="149" spans="1:3" ht="23.5" x14ac:dyDescent="0.55000000000000004">
      <c r="A149" s="2" t="s">
        <v>32</v>
      </c>
      <c r="B149" s="51" t="s">
        <v>7</v>
      </c>
      <c r="C149" s="50" t="s">
        <v>16</v>
      </c>
    </row>
    <row r="150" spans="1:3" ht="23.5" x14ac:dyDescent="0.55000000000000004">
      <c r="A150" s="2" t="s">
        <v>32</v>
      </c>
      <c r="B150" s="51" t="s">
        <v>8</v>
      </c>
      <c r="C150" s="50" t="s">
        <v>15</v>
      </c>
    </row>
    <row r="151" spans="1:3" ht="23.5" x14ac:dyDescent="0.55000000000000004">
      <c r="A151" s="2" t="s">
        <v>32</v>
      </c>
      <c r="B151" s="51" t="s">
        <v>9</v>
      </c>
      <c r="C151" s="50" t="s">
        <v>15</v>
      </c>
    </row>
    <row r="152" spans="1:3" ht="23.5" x14ac:dyDescent="0.55000000000000004">
      <c r="A152" s="2" t="s">
        <v>32</v>
      </c>
      <c r="B152" s="51" t="s">
        <v>10</v>
      </c>
      <c r="C152" s="50" t="s">
        <v>15</v>
      </c>
    </row>
    <row r="153" spans="1:3" ht="23.5" x14ac:dyDescent="0.55000000000000004">
      <c r="A153" s="2" t="s">
        <v>32</v>
      </c>
      <c r="B153" s="51" t="s">
        <v>11</v>
      </c>
      <c r="C153" s="50" t="s">
        <v>15</v>
      </c>
    </row>
    <row r="154" spans="1:3" ht="23.5" x14ac:dyDescent="0.55000000000000004">
      <c r="A154" s="2" t="s">
        <v>32</v>
      </c>
      <c r="B154" s="51" t="s">
        <v>12</v>
      </c>
      <c r="C154" s="50" t="s">
        <v>16</v>
      </c>
    </row>
    <row r="155" spans="1:3" ht="23.5" x14ac:dyDescent="0.55000000000000004">
      <c r="A155" s="2" t="s">
        <v>32</v>
      </c>
      <c r="B155" s="49" t="s">
        <v>13</v>
      </c>
      <c r="C155" s="50" t="s">
        <v>16</v>
      </c>
    </row>
    <row r="156" spans="1:3" ht="23.5" x14ac:dyDescent="0.4">
      <c r="A156" s="2" t="s">
        <v>33</v>
      </c>
      <c r="B156" s="1" t="s">
        <v>2</v>
      </c>
      <c r="C156" s="4" t="s">
        <v>15</v>
      </c>
    </row>
    <row r="157" spans="1:3" ht="23.5" x14ac:dyDescent="0.55000000000000004">
      <c r="A157" s="2" t="s">
        <v>33</v>
      </c>
      <c r="B157" s="49" t="s">
        <v>3</v>
      </c>
      <c r="C157" s="50" t="s">
        <v>15</v>
      </c>
    </row>
    <row r="158" spans="1:3" ht="23.5" x14ac:dyDescent="0.55000000000000004">
      <c r="A158" s="2" t="s">
        <v>33</v>
      </c>
      <c r="B158" s="51" t="s">
        <v>4</v>
      </c>
      <c r="C158" s="50">
        <v>10</v>
      </c>
    </row>
    <row r="159" spans="1:3" ht="23.5" x14ac:dyDescent="0.55000000000000004">
      <c r="A159" s="2" t="s">
        <v>33</v>
      </c>
      <c r="B159" s="51" t="s">
        <v>5</v>
      </c>
      <c r="C159" s="50" t="s">
        <v>16</v>
      </c>
    </row>
    <row r="160" spans="1:3" ht="23.5" x14ac:dyDescent="0.55000000000000004">
      <c r="A160" s="2" t="s">
        <v>33</v>
      </c>
      <c r="B160" s="51" t="s">
        <v>6</v>
      </c>
      <c r="C160" s="50" t="s">
        <v>16</v>
      </c>
    </row>
    <row r="161" spans="1:3" ht="23.5" x14ac:dyDescent="0.55000000000000004">
      <c r="A161" s="2" t="s">
        <v>33</v>
      </c>
      <c r="B161" s="51" t="s">
        <v>7</v>
      </c>
      <c r="C161" s="50" t="s">
        <v>16</v>
      </c>
    </row>
    <row r="162" spans="1:3" ht="23.5" x14ac:dyDescent="0.55000000000000004">
      <c r="A162" s="2" t="s">
        <v>33</v>
      </c>
      <c r="B162" s="51" t="s">
        <v>8</v>
      </c>
      <c r="C162" s="50" t="s">
        <v>15</v>
      </c>
    </row>
    <row r="163" spans="1:3" ht="23.5" x14ac:dyDescent="0.55000000000000004">
      <c r="A163" s="2" t="s">
        <v>33</v>
      </c>
      <c r="B163" s="51" t="s">
        <v>9</v>
      </c>
      <c r="C163" s="50" t="s">
        <v>15</v>
      </c>
    </row>
    <row r="164" spans="1:3" ht="23.5" x14ac:dyDescent="0.55000000000000004">
      <c r="A164" s="2" t="s">
        <v>33</v>
      </c>
      <c r="B164" s="51" t="s">
        <v>10</v>
      </c>
      <c r="C164" s="50" t="s">
        <v>15</v>
      </c>
    </row>
    <row r="165" spans="1:3" ht="23.5" x14ac:dyDescent="0.55000000000000004">
      <c r="A165" s="2" t="s">
        <v>33</v>
      </c>
      <c r="B165" s="51" t="s">
        <v>11</v>
      </c>
      <c r="C165" s="50" t="s">
        <v>15</v>
      </c>
    </row>
    <row r="166" spans="1:3" ht="23.5" x14ac:dyDescent="0.55000000000000004">
      <c r="A166" s="2" t="s">
        <v>33</v>
      </c>
      <c r="B166" s="51" t="s">
        <v>12</v>
      </c>
      <c r="C166" s="50" t="s">
        <v>15</v>
      </c>
    </row>
    <row r="167" spans="1:3" ht="23.5" x14ac:dyDescent="0.4">
      <c r="A167" s="2" t="s">
        <v>34</v>
      </c>
      <c r="B167" s="1" t="s">
        <v>2</v>
      </c>
      <c r="C167" s="4" t="s">
        <v>15</v>
      </c>
    </row>
    <row r="168" spans="1:3" ht="23.5" x14ac:dyDescent="0.55000000000000004">
      <c r="A168" s="2" t="s">
        <v>34</v>
      </c>
      <c r="B168" s="49" t="s">
        <v>3</v>
      </c>
      <c r="C168" s="50" t="s">
        <v>16</v>
      </c>
    </row>
    <row r="169" spans="1:3" ht="23.5" x14ac:dyDescent="0.55000000000000004">
      <c r="A169" s="2" t="s">
        <v>34</v>
      </c>
      <c r="B169" s="51" t="s">
        <v>4</v>
      </c>
      <c r="C169" s="50">
        <v>1</v>
      </c>
    </row>
    <row r="170" spans="1:3" ht="23.5" x14ac:dyDescent="0.55000000000000004">
      <c r="A170" s="2" t="s">
        <v>34</v>
      </c>
      <c r="B170" s="51" t="s">
        <v>5</v>
      </c>
      <c r="C170" s="50" t="s">
        <v>16</v>
      </c>
    </row>
    <row r="171" spans="1:3" ht="23.5" x14ac:dyDescent="0.55000000000000004">
      <c r="A171" s="2" t="s">
        <v>34</v>
      </c>
      <c r="B171" s="51" t="s">
        <v>6</v>
      </c>
      <c r="C171" s="50" t="s">
        <v>15</v>
      </c>
    </row>
    <row r="172" spans="1:3" ht="23.5" x14ac:dyDescent="0.55000000000000004">
      <c r="A172" s="2" t="s">
        <v>34</v>
      </c>
      <c r="B172" s="51" t="s">
        <v>7</v>
      </c>
      <c r="C172" s="50" t="s">
        <v>16</v>
      </c>
    </row>
    <row r="173" spans="1:3" ht="23.5" x14ac:dyDescent="0.55000000000000004">
      <c r="A173" s="2" t="s">
        <v>34</v>
      </c>
      <c r="B173" s="51" t="s">
        <v>8</v>
      </c>
      <c r="C173" s="50" t="s">
        <v>15</v>
      </c>
    </row>
    <row r="174" spans="1:3" ht="23.5" x14ac:dyDescent="0.55000000000000004">
      <c r="A174" s="2" t="s">
        <v>34</v>
      </c>
      <c r="B174" s="51" t="s">
        <v>9</v>
      </c>
      <c r="C174" s="50" t="s">
        <v>15</v>
      </c>
    </row>
    <row r="175" spans="1:3" ht="23.5" x14ac:dyDescent="0.55000000000000004">
      <c r="A175" s="2" t="s">
        <v>34</v>
      </c>
      <c r="B175" s="51" t="s">
        <v>10</v>
      </c>
      <c r="C175" s="50" t="s">
        <v>15</v>
      </c>
    </row>
    <row r="176" spans="1:3" ht="23.5" x14ac:dyDescent="0.55000000000000004">
      <c r="A176" s="2" t="s">
        <v>34</v>
      </c>
      <c r="B176" s="51" t="s">
        <v>11</v>
      </c>
      <c r="C176" s="50" t="s">
        <v>15</v>
      </c>
    </row>
    <row r="177" spans="1:3" ht="23.5" x14ac:dyDescent="0.55000000000000004">
      <c r="A177" s="2" t="s">
        <v>34</v>
      </c>
      <c r="B177" s="51" t="s">
        <v>12</v>
      </c>
      <c r="C177" s="50" t="s">
        <v>15</v>
      </c>
    </row>
    <row r="178" spans="1:3" ht="23.5" x14ac:dyDescent="0.55000000000000004">
      <c r="A178" s="2" t="s">
        <v>34</v>
      </c>
      <c r="B178" s="49" t="s">
        <v>13</v>
      </c>
      <c r="C178" s="50" t="s">
        <v>15</v>
      </c>
    </row>
    <row r="179" spans="1:3" ht="23.5" x14ac:dyDescent="0.4">
      <c r="A179" s="2" t="s">
        <v>35</v>
      </c>
      <c r="B179" s="1" t="s">
        <v>2</v>
      </c>
      <c r="C179" s="4" t="s">
        <v>20</v>
      </c>
    </row>
    <row r="180" spans="1:3" ht="23.5" x14ac:dyDescent="0.55000000000000004">
      <c r="A180" s="2" t="s">
        <v>35</v>
      </c>
      <c r="B180" s="49" t="s">
        <v>3</v>
      </c>
      <c r="C180" s="50" t="s">
        <v>16</v>
      </c>
    </row>
    <row r="181" spans="1:3" ht="23.5" x14ac:dyDescent="0.4">
      <c r="A181" s="2" t="s">
        <v>36</v>
      </c>
      <c r="B181" s="1" t="s">
        <v>2</v>
      </c>
      <c r="C181" s="4" t="s">
        <v>15</v>
      </c>
    </row>
    <row r="182" spans="1:3" ht="23.5" x14ac:dyDescent="0.55000000000000004">
      <c r="A182" s="2" t="s">
        <v>36</v>
      </c>
      <c r="B182" s="49" t="s">
        <v>3</v>
      </c>
      <c r="C182" s="50" t="s">
        <v>15</v>
      </c>
    </row>
    <row r="183" spans="1:3" ht="23.5" x14ac:dyDescent="0.4">
      <c r="A183" s="2" t="s">
        <v>37</v>
      </c>
      <c r="B183" s="1" t="s">
        <v>2</v>
      </c>
      <c r="C183" s="4" t="s">
        <v>16</v>
      </c>
    </row>
    <row r="184" spans="1:3" ht="23.5" x14ac:dyDescent="0.55000000000000004">
      <c r="A184" s="2" t="s">
        <v>37</v>
      </c>
      <c r="B184" s="49" t="s">
        <v>3</v>
      </c>
      <c r="C184" s="50" t="s">
        <v>16</v>
      </c>
    </row>
    <row r="185" spans="1:3" ht="23.5" x14ac:dyDescent="0.55000000000000004">
      <c r="A185" s="2" t="s">
        <v>37</v>
      </c>
      <c r="B185" s="51" t="s">
        <v>4</v>
      </c>
      <c r="C185" s="50">
        <v>5</v>
      </c>
    </row>
    <row r="186" spans="1:3" ht="23.5" x14ac:dyDescent="0.55000000000000004">
      <c r="A186" s="2" t="s">
        <v>37</v>
      </c>
      <c r="B186" s="51" t="s">
        <v>5</v>
      </c>
      <c r="C186" s="50" t="s">
        <v>15</v>
      </c>
    </row>
    <row r="187" spans="1:3" ht="23.5" x14ac:dyDescent="0.55000000000000004">
      <c r="A187" s="2" t="s">
        <v>37</v>
      </c>
      <c r="B187" s="51" t="s">
        <v>6</v>
      </c>
      <c r="C187" s="50" t="s">
        <v>15</v>
      </c>
    </row>
    <row r="188" spans="1:3" ht="23.5" x14ac:dyDescent="0.55000000000000004">
      <c r="A188" s="2" t="s">
        <v>37</v>
      </c>
      <c r="B188" s="51" t="s">
        <v>8</v>
      </c>
      <c r="C188" s="50" t="s">
        <v>15</v>
      </c>
    </row>
    <row r="189" spans="1:3" ht="23.5" x14ac:dyDescent="0.55000000000000004">
      <c r="A189" s="2" t="s">
        <v>37</v>
      </c>
      <c r="B189" s="51" t="s">
        <v>9</v>
      </c>
      <c r="C189" s="50" t="s">
        <v>15</v>
      </c>
    </row>
    <row r="190" spans="1:3" ht="23.5" x14ac:dyDescent="0.55000000000000004">
      <c r="A190" s="2" t="s">
        <v>37</v>
      </c>
      <c r="B190" s="51" t="s">
        <v>10</v>
      </c>
      <c r="C190" s="50" t="s">
        <v>15</v>
      </c>
    </row>
    <row r="191" spans="1:3" ht="23.5" x14ac:dyDescent="0.55000000000000004">
      <c r="A191" s="2" t="s">
        <v>37</v>
      </c>
      <c r="B191" s="51" t="s">
        <v>11</v>
      </c>
      <c r="C191" s="50" t="s">
        <v>15</v>
      </c>
    </row>
    <row r="192" spans="1:3" ht="23.5" x14ac:dyDescent="0.4">
      <c r="A192" s="2" t="s">
        <v>38</v>
      </c>
      <c r="B192" s="1" t="s">
        <v>2</v>
      </c>
      <c r="C192" s="4" t="s">
        <v>20</v>
      </c>
    </row>
    <row r="193" spans="1:3" ht="23.5" x14ac:dyDescent="0.55000000000000004">
      <c r="A193" s="2" t="s">
        <v>38</v>
      </c>
      <c r="B193" s="49" t="s">
        <v>3</v>
      </c>
      <c r="C193" s="50" t="s">
        <v>16</v>
      </c>
    </row>
    <row r="194" spans="1:3" ht="23.5" x14ac:dyDescent="0.55000000000000004">
      <c r="A194" s="2" t="s">
        <v>38</v>
      </c>
      <c r="B194" s="49" t="s">
        <v>13</v>
      </c>
      <c r="C194" s="50" t="s">
        <v>16</v>
      </c>
    </row>
    <row r="195" spans="1:3" ht="23.5" x14ac:dyDescent="0.4">
      <c r="A195" s="2" t="s">
        <v>39</v>
      </c>
      <c r="B195" s="1" t="s">
        <v>2</v>
      </c>
      <c r="C195" s="4" t="s">
        <v>15</v>
      </c>
    </row>
    <row r="196" spans="1:3" ht="23.5" x14ac:dyDescent="0.55000000000000004">
      <c r="A196" s="2" t="s">
        <v>39</v>
      </c>
      <c r="B196" s="49" t="s">
        <v>3</v>
      </c>
      <c r="C196" s="50" t="s">
        <v>15</v>
      </c>
    </row>
    <row r="197" spans="1:3" ht="23.5" x14ac:dyDescent="0.55000000000000004">
      <c r="A197" s="2" t="s">
        <v>39</v>
      </c>
      <c r="B197" s="51" t="s">
        <v>4</v>
      </c>
      <c r="C197" s="50">
        <v>5</v>
      </c>
    </row>
    <row r="198" spans="1:3" ht="23.5" x14ac:dyDescent="0.55000000000000004">
      <c r="A198" s="2" t="s">
        <v>39</v>
      </c>
      <c r="B198" s="51" t="s">
        <v>5</v>
      </c>
      <c r="C198" s="50" t="s">
        <v>15</v>
      </c>
    </row>
    <row r="199" spans="1:3" ht="23.5" x14ac:dyDescent="0.55000000000000004">
      <c r="A199" s="2" t="s">
        <v>39</v>
      </c>
      <c r="B199" s="51" t="s">
        <v>6</v>
      </c>
      <c r="C199" s="50" t="s">
        <v>15</v>
      </c>
    </row>
    <row r="200" spans="1:3" ht="23.5" x14ac:dyDescent="0.55000000000000004">
      <c r="A200" s="2" t="s">
        <v>39</v>
      </c>
      <c r="B200" s="51" t="s">
        <v>7</v>
      </c>
      <c r="C200" s="50" t="s">
        <v>16</v>
      </c>
    </row>
    <row r="201" spans="1:3" ht="23.5" x14ac:dyDescent="0.55000000000000004">
      <c r="A201" s="2" t="s">
        <v>39</v>
      </c>
      <c r="B201" s="51" t="s">
        <v>8</v>
      </c>
      <c r="C201" s="50" t="s">
        <v>15</v>
      </c>
    </row>
    <row r="202" spans="1:3" ht="23.5" x14ac:dyDescent="0.55000000000000004">
      <c r="A202" s="2" t="s">
        <v>39</v>
      </c>
      <c r="B202" s="51" t="s">
        <v>9</v>
      </c>
      <c r="C202" s="50" t="s">
        <v>15</v>
      </c>
    </row>
    <row r="203" spans="1:3" ht="23.5" x14ac:dyDescent="0.55000000000000004">
      <c r="A203" s="2" t="s">
        <v>39</v>
      </c>
      <c r="B203" s="51" t="s">
        <v>10</v>
      </c>
      <c r="C203" s="50" t="s">
        <v>15</v>
      </c>
    </row>
    <row r="204" spans="1:3" ht="23.5" x14ac:dyDescent="0.55000000000000004">
      <c r="A204" s="2" t="s">
        <v>39</v>
      </c>
      <c r="B204" s="51" t="s">
        <v>11</v>
      </c>
      <c r="C204" s="50" t="s">
        <v>16</v>
      </c>
    </row>
    <row r="205" spans="1:3" ht="23.5" x14ac:dyDescent="0.55000000000000004">
      <c r="A205" s="2" t="s">
        <v>39</v>
      </c>
      <c r="B205" s="51" t="s">
        <v>12</v>
      </c>
      <c r="C205" s="50" t="s">
        <v>16</v>
      </c>
    </row>
    <row r="206" spans="1:3" ht="23.5" x14ac:dyDescent="0.55000000000000004">
      <c r="A206" s="2" t="s">
        <v>39</v>
      </c>
      <c r="B206" s="49" t="s">
        <v>13</v>
      </c>
      <c r="C206" s="50" t="s">
        <v>16</v>
      </c>
    </row>
    <row r="207" spans="1:3" ht="23.5" x14ac:dyDescent="0.4">
      <c r="A207" s="2" t="s">
        <v>40</v>
      </c>
      <c r="B207" s="1" t="s">
        <v>2</v>
      </c>
      <c r="C207" s="4" t="s">
        <v>15</v>
      </c>
    </row>
    <row r="208" spans="1:3" ht="23.5" x14ac:dyDescent="0.55000000000000004">
      <c r="A208" s="2" t="s">
        <v>40</v>
      </c>
      <c r="B208" s="49" t="s">
        <v>3</v>
      </c>
      <c r="C208" s="50" t="s">
        <v>15</v>
      </c>
    </row>
    <row r="209" spans="1:3" ht="23.5" x14ac:dyDescent="0.55000000000000004">
      <c r="A209" s="2" t="s">
        <v>40</v>
      </c>
      <c r="B209" s="51" t="s">
        <v>4</v>
      </c>
      <c r="C209" s="50">
        <v>5</v>
      </c>
    </row>
    <row r="210" spans="1:3" ht="23.5" x14ac:dyDescent="0.55000000000000004">
      <c r="A210" s="2" t="s">
        <v>40</v>
      </c>
      <c r="B210" s="51" t="s">
        <v>5</v>
      </c>
      <c r="C210" s="50" t="s">
        <v>15</v>
      </c>
    </row>
    <row r="211" spans="1:3" ht="23.5" x14ac:dyDescent="0.55000000000000004">
      <c r="A211" s="2" t="s">
        <v>40</v>
      </c>
      <c r="B211" s="51" t="s">
        <v>6</v>
      </c>
      <c r="C211" s="50" t="s">
        <v>15</v>
      </c>
    </row>
    <row r="212" spans="1:3" ht="23.5" x14ac:dyDescent="0.55000000000000004">
      <c r="A212" s="2" t="s">
        <v>40</v>
      </c>
      <c r="B212" s="51" t="s">
        <v>7</v>
      </c>
      <c r="C212" s="50" t="s">
        <v>15</v>
      </c>
    </row>
    <row r="213" spans="1:3" ht="23.5" x14ac:dyDescent="0.55000000000000004">
      <c r="A213" s="2" t="s">
        <v>40</v>
      </c>
      <c r="B213" s="51" t="s">
        <v>8</v>
      </c>
      <c r="C213" s="50" t="s">
        <v>15</v>
      </c>
    </row>
    <row r="214" spans="1:3" ht="23.5" x14ac:dyDescent="0.55000000000000004">
      <c r="A214" s="2" t="s">
        <v>40</v>
      </c>
      <c r="B214" s="51" t="s">
        <v>9</v>
      </c>
      <c r="C214" s="50" t="s">
        <v>15</v>
      </c>
    </row>
    <row r="215" spans="1:3" ht="23.5" x14ac:dyDescent="0.55000000000000004">
      <c r="A215" s="2" t="s">
        <v>40</v>
      </c>
      <c r="B215" s="51" t="s">
        <v>10</v>
      </c>
      <c r="C215" s="50" t="s">
        <v>15</v>
      </c>
    </row>
    <row r="216" spans="1:3" ht="23.5" x14ac:dyDescent="0.55000000000000004">
      <c r="A216" s="2" t="s">
        <v>40</v>
      </c>
      <c r="B216" s="51" t="s">
        <v>11</v>
      </c>
      <c r="C216" s="50" t="s">
        <v>15</v>
      </c>
    </row>
    <row r="217" spans="1:3" ht="23.5" x14ac:dyDescent="0.55000000000000004">
      <c r="A217" s="2" t="s">
        <v>40</v>
      </c>
      <c r="B217" s="51" t="s">
        <v>12</v>
      </c>
      <c r="C217" s="50" t="s">
        <v>16</v>
      </c>
    </row>
    <row r="218" spans="1:3" ht="23.5" x14ac:dyDescent="0.55000000000000004">
      <c r="A218" s="2" t="s">
        <v>40</v>
      </c>
      <c r="B218" s="49" t="s">
        <v>13</v>
      </c>
      <c r="C218" s="50" t="s">
        <v>15</v>
      </c>
    </row>
    <row r="219" spans="1:3" ht="23.5" x14ac:dyDescent="0.4">
      <c r="A219" s="2" t="s">
        <v>41</v>
      </c>
      <c r="B219" s="1" t="s">
        <v>2</v>
      </c>
      <c r="C219" s="4" t="s">
        <v>15</v>
      </c>
    </row>
    <row r="220" spans="1:3" ht="23.5" x14ac:dyDescent="0.55000000000000004">
      <c r="A220" s="2" t="s">
        <v>41</v>
      </c>
      <c r="B220" s="49" t="s">
        <v>3</v>
      </c>
      <c r="C220" s="50" t="s">
        <v>15</v>
      </c>
    </row>
    <row r="221" spans="1:3" ht="23.5" x14ac:dyDescent="0.55000000000000004">
      <c r="A221" s="2" t="s">
        <v>41</v>
      </c>
      <c r="B221" s="51" t="s">
        <v>4</v>
      </c>
      <c r="C221" s="50">
        <v>10</v>
      </c>
    </row>
    <row r="222" spans="1:3" ht="23.5" x14ac:dyDescent="0.55000000000000004">
      <c r="A222" s="2" t="s">
        <v>41</v>
      </c>
      <c r="B222" s="51" t="s">
        <v>5</v>
      </c>
      <c r="C222" s="50" t="s">
        <v>15</v>
      </c>
    </row>
    <row r="223" spans="1:3" ht="23.5" x14ac:dyDescent="0.55000000000000004">
      <c r="A223" s="2" t="s">
        <v>41</v>
      </c>
      <c r="B223" s="51" t="s">
        <v>6</v>
      </c>
      <c r="C223" s="50" t="s">
        <v>15</v>
      </c>
    </row>
    <row r="224" spans="1:3" ht="23.5" x14ac:dyDescent="0.55000000000000004">
      <c r="A224" s="2" t="s">
        <v>41</v>
      </c>
      <c r="B224" s="51" t="s">
        <v>7</v>
      </c>
      <c r="C224" s="50" t="s">
        <v>16</v>
      </c>
    </row>
    <row r="225" spans="1:3" ht="23.5" x14ac:dyDescent="0.55000000000000004">
      <c r="A225" s="2" t="s">
        <v>41</v>
      </c>
      <c r="B225" s="51" t="s">
        <v>8</v>
      </c>
      <c r="C225" s="50" t="s">
        <v>15</v>
      </c>
    </row>
    <row r="226" spans="1:3" ht="23.5" x14ac:dyDescent="0.55000000000000004">
      <c r="A226" s="2" t="s">
        <v>41</v>
      </c>
      <c r="B226" s="51" t="s">
        <v>9</v>
      </c>
      <c r="C226" s="50" t="s">
        <v>16</v>
      </c>
    </row>
    <row r="227" spans="1:3" ht="23.5" x14ac:dyDescent="0.55000000000000004">
      <c r="A227" s="2" t="s">
        <v>41</v>
      </c>
      <c r="B227" s="51" t="s">
        <v>10</v>
      </c>
      <c r="C227" s="50" t="s">
        <v>15</v>
      </c>
    </row>
    <row r="228" spans="1:3" ht="23.5" x14ac:dyDescent="0.55000000000000004">
      <c r="A228" s="2" t="s">
        <v>41</v>
      </c>
      <c r="B228" s="51" t="s">
        <v>11</v>
      </c>
      <c r="C228" s="50" t="s">
        <v>15</v>
      </c>
    </row>
    <row r="229" spans="1:3" ht="23.5" x14ac:dyDescent="0.55000000000000004">
      <c r="A229" s="2" t="s">
        <v>41</v>
      </c>
      <c r="B229" s="51" t="s">
        <v>12</v>
      </c>
      <c r="C229" s="50" t="s">
        <v>16</v>
      </c>
    </row>
    <row r="230" spans="1:3" ht="23.5" x14ac:dyDescent="0.55000000000000004">
      <c r="A230" s="2" t="s">
        <v>41</v>
      </c>
      <c r="B230" s="49" t="s">
        <v>13</v>
      </c>
      <c r="C230" s="50" t="s">
        <v>16</v>
      </c>
    </row>
    <row r="231" spans="1:3" ht="23.5" x14ac:dyDescent="0.4">
      <c r="A231" s="2" t="s">
        <v>42</v>
      </c>
      <c r="B231" s="1" t="s">
        <v>2</v>
      </c>
      <c r="C231" s="4" t="s">
        <v>15</v>
      </c>
    </row>
    <row r="232" spans="1:3" ht="23.5" x14ac:dyDescent="0.55000000000000004">
      <c r="A232" s="2" t="s">
        <v>42</v>
      </c>
      <c r="B232" s="49" t="s">
        <v>3</v>
      </c>
      <c r="C232" s="50" t="s">
        <v>15</v>
      </c>
    </row>
    <row r="233" spans="1:3" ht="23.5" x14ac:dyDescent="0.55000000000000004">
      <c r="A233" s="2" t="s">
        <v>42</v>
      </c>
      <c r="B233" s="51" t="s">
        <v>5</v>
      </c>
      <c r="C233" s="50" t="s">
        <v>15</v>
      </c>
    </row>
    <row r="234" spans="1:3" ht="23.5" x14ac:dyDescent="0.55000000000000004">
      <c r="A234" s="2" t="s">
        <v>42</v>
      </c>
      <c r="B234" s="51" t="s">
        <v>6</v>
      </c>
      <c r="C234" s="50" t="s">
        <v>15</v>
      </c>
    </row>
    <row r="235" spans="1:3" ht="23.5" x14ac:dyDescent="0.55000000000000004">
      <c r="A235" s="2" t="s">
        <v>42</v>
      </c>
      <c r="B235" s="51" t="s">
        <v>7</v>
      </c>
      <c r="C235" s="50" t="s">
        <v>16</v>
      </c>
    </row>
    <row r="236" spans="1:3" ht="23.5" x14ac:dyDescent="0.55000000000000004">
      <c r="A236" s="2" t="s">
        <v>42</v>
      </c>
      <c r="B236" s="49" t="s">
        <v>13</v>
      </c>
      <c r="C236" s="50" t="s">
        <v>16</v>
      </c>
    </row>
    <row r="237" spans="1:3" ht="23.5" x14ac:dyDescent="0.4">
      <c r="A237" s="2" t="s">
        <v>43</v>
      </c>
      <c r="B237" s="1" t="s">
        <v>2</v>
      </c>
      <c r="C237" s="4" t="s">
        <v>16</v>
      </c>
    </row>
    <row r="238" spans="1:3" ht="23.5" x14ac:dyDescent="0.55000000000000004">
      <c r="A238" s="2" t="s">
        <v>43</v>
      </c>
      <c r="B238" s="49" t="s">
        <v>3</v>
      </c>
      <c r="C238" s="50" t="s">
        <v>16</v>
      </c>
    </row>
    <row r="239" spans="1:3" ht="23.5" x14ac:dyDescent="0.4">
      <c r="A239" s="2" t="s">
        <v>44</v>
      </c>
      <c r="B239" s="1" t="s">
        <v>2</v>
      </c>
      <c r="C239" s="4" t="s">
        <v>15</v>
      </c>
    </row>
    <row r="240" spans="1:3" ht="23.5" x14ac:dyDescent="0.55000000000000004">
      <c r="A240" s="2" t="s">
        <v>44</v>
      </c>
      <c r="B240" s="49" t="s">
        <v>3</v>
      </c>
      <c r="C240" s="50" t="s">
        <v>15</v>
      </c>
    </row>
    <row r="241" spans="1:3" ht="23.5" x14ac:dyDescent="0.55000000000000004">
      <c r="A241" s="2" t="s">
        <v>44</v>
      </c>
      <c r="B241" s="51" t="s">
        <v>4</v>
      </c>
      <c r="C241" s="50">
        <v>5</v>
      </c>
    </row>
    <row r="242" spans="1:3" ht="23.5" x14ac:dyDescent="0.55000000000000004">
      <c r="A242" s="2" t="s">
        <v>44</v>
      </c>
      <c r="B242" s="51" t="s">
        <v>5</v>
      </c>
      <c r="C242" s="50" t="s">
        <v>15</v>
      </c>
    </row>
    <row r="243" spans="1:3" ht="23.5" x14ac:dyDescent="0.55000000000000004">
      <c r="A243" s="2" t="s">
        <v>44</v>
      </c>
      <c r="B243" s="51" t="s">
        <v>6</v>
      </c>
      <c r="C243" s="50" t="s">
        <v>15</v>
      </c>
    </row>
    <row r="244" spans="1:3" ht="23.5" x14ac:dyDescent="0.55000000000000004">
      <c r="A244" s="2" t="s">
        <v>44</v>
      </c>
      <c r="B244" s="51" t="s">
        <v>7</v>
      </c>
      <c r="C244" s="50" t="s">
        <v>16</v>
      </c>
    </row>
    <row r="245" spans="1:3" ht="23.5" x14ac:dyDescent="0.55000000000000004">
      <c r="A245" s="2" t="s">
        <v>44</v>
      </c>
      <c r="B245" s="51" t="s">
        <v>8</v>
      </c>
      <c r="C245" s="50" t="s">
        <v>16</v>
      </c>
    </row>
    <row r="246" spans="1:3" ht="23.5" x14ac:dyDescent="0.55000000000000004">
      <c r="A246" s="2" t="s">
        <v>44</v>
      </c>
      <c r="B246" s="51" t="s">
        <v>9</v>
      </c>
      <c r="C246" s="50" t="s">
        <v>16</v>
      </c>
    </row>
    <row r="247" spans="1:3" ht="23.5" x14ac:dyDescent="0.55000000000000004">
      <c r="A247" s="2" t="s">
        <v>44</v>
      </c>
      <c r="B247" s="51" t="s">
        <v>10</v>
      </c>
      <c r="C247" s="50" t="s">
        <v>16</v>
      </c>
    </row>
    <row r="248" spans="1:3" ht="23.5" x14ac:dyDescent="0.55000000000000004">
      <c r="A248" s="2" t="s">
        <v>44</v>
      </c>
      <c r="B248" s="51" t="s">
        <v>11</v>
      </c>
      <c r="C248" s="50" t="s">
        <v>16</v>
      </c>
    </row>
    <row r="249" spans="1:3" ht="23.5" x14ac:dyDescent="0.55000000000000004">
      <c r="A249" s="2" t="s">
        <v>44</v>
      </c>
      <c r="B249" s="51" t="s">
        <v>12</v>
      </c>
      <c r="C249" s="50" t="s">
        <v>16</v>
      </c>
    </row>
    <row r="250" spans="1:3" ht="23.5" x14ac:dyDescent="0.55000000000000004">
      <c r="A250" s="2" t="s">
        <v>44</v>
      </c>
      <c r="B250" s="49" t="s">
        <v>13</v>
      </c>
      <c r="C250" s="50" t="s">
        <v>16</v>
      </c>
    </row>
    <row r="251" spans="1:3" ht="23.5" x14ac:dyDescent="0.4">
      <c r="A251" s="2" t="s">
        <v>45</v>
      </c>
      <c r="B251" s="1" t="s">
        <v>2</v>
      </c>
      <c r="C251" s="4" t="s">
        <v>15</v>
      </c>
    </row>
    <row r="252" spans="1:3" ht="23.5" x14ac:dyDescent="0.55000000000000004">
      <c r="A252" s="2" t="s">
        <v>45</v>
      </c>
      <c r="B252" s="49" t="s">
        <v>3</v>
      </c>
      <c r="C252" s="50" t="s">
        <v>15</v>
      </c>
    </row>
    <row r="253" spans="1:3" ht="23.5" x14ac:dyDescent="0.55000000000000004">
      <c r="A253" s="2" t="s">
        <v>45</v>
      </c>
      <c r="B253" s="51" t="s">
        <v>4</v>
      </c>
      <c r="C253" s="50">
        <v>8</v>
      </c>
    </row>
    <row r="254" spans="1:3" ht="23.5" x14ac:dyDescent="0.55000000000000004">
      <c r="A254" s="2" t="s">
        <v>45</v>
      </c>
      <c r="B254" s="51" t="s">
        <v>5</v>
      </c>
      <c r="C254" s="50" t="s">
        <v>15</v>
      </c>
    </row>
    <row r="255" spans="1:3" ht="23.5" x14ac:dyDescent="0.55000000000000004">
      <c r="A255" s="2" t="s">
        <v>45</v>
      </c>
      <c r="B255" s="51" t="s">
        <v>6</v>
      </c>
      <c r="C255" s="50" t="s">
        <v>15</v>
      </c>
    </row>
    <row r="256" spans="1:3" ht="23.5" x14ac:dyDescent="0.55000000000000004">
      <c r="A256" s="2" t="s">
        <v>45</v>
      </c>
      <c r="B256" s="51" t="s">
        <v>7</v>
      </c>
      <c r="C256" s="50" t="s">
        <v>16</v>
      </c>
    </row>
    <row r="257" spans="1:3" ht="23.5" x14ac:dyDescent="0.55000000000000004">
      <c r="A257" s="2" t="s">
        <v>45</v>
      </c>
      <c r="B257" s="51" t="s">
        <v>8</v>
      </c>
      <c r="C257" s="50" t="s">
        <v>15</v>
      </c>
    </row>
    <row r="258" spans="1:3" ht="23.5" x14ac:dyDescent="0.55000000000000004">
      <c r="A258" s="2" t="s">
        <v>45</v>
      </c>
      <c r="B258" s="51" t="s">
        <v>9</v>
      </c>
      <c r="C258" s="50" t="s">
        <v>15</v>
      </c>
    </row>
    <row r="259" spans="1:3" ht="23.5" x14ac:dyDescent="0.55000000000000004">
      <c r="A259" s="2" t="s">
        <v>45</v>
      </c>
      <c r="B259" s="51" t="s">
        <v>10</v>
      </c>
      <c r="C259" s="50" t="s">
        <v>15</v>
      </c>
    </row>
    <row r="260" spans="1:3" ht="23.5" x14ac:dyDescent="0.55000000000000004">
      <c r="A260" s="2" t="s">
        <v>45</v>
      </c>
      <c r="B260" s="51" t="s">
        <v>11</v>
      </c>
      <c r="C260" s="50" t="s">
        <v>15</v>
      </c>
    </row>
    <row r="261" spans="1:3" ht="23.5" x14ac:dyDescent="0.55000000000000004">
      <c r="A261" s="2" t="s">
        <v>45</v>
      </c>
      <c r="B261" s="51" t="s">
        <v>12</v>
      </c>
      <c r="C261" s="50" t="s">
        <v>15</v>
      </c>
    </row>
    <row r="262" spans="1:3" ht="23.5" x14ac:dyDescent="0.55000000000000004">
      <c r="A262" s="2" t="s">
        <v>45</v>
      </c>
      <c r="B262" s="49" t="s">
        <v>13</v>
      </c>
      <c r="C262" s="50" t="s">
        <v>15</v>
      </c>
    </row>
    <row r="263" spans="1:3" ht="23.5" x14ac:dyDescent="0.4">
      <c r="A263" s="2" t="s">
        <v>46</v>
      </c>
      <c r="B263" s="1" t="s">
        <v>2</v>
      </c>
      <c r="C263" s="4" t="s">
        <v>16</v>
      </c>
    </row>
    <row r="264" spans="1:3" ht="23.5" x14ac:dyDescent="0.55000000000000004">
      <c r="A264" s="2" t="s">
        <v>46</v>
      </c>
      <c r="B264" s="49" t="s">
        <v>3</v>
      </c>
      <c r="C264" s="50" t="s">
        <v>16</v>
      </c>
    </row>
    <row r="265" spans="1:3" ht="23.5" x14ac:dyDescent="0.4">
      <c r="A265" s="2" t="s">
        <v>47</v>
      </c>
      <c r="B265" s="1" t="s">
        <v>2</v>
      </c>
      <c r="C265" s="4" t="s">
        <v>15</v>
      </c>
    </row>
    <row r="266" spans="1:3" ht="23.5" x14ac:dyDescent="0.55000000000000004">
      <c r="A266" s="2" t="s">
        <v>47</v>
      </c>
      <c r="B266" s="49" t="s">
        <v>3</v>
      </c>
      <c r="C266" s="50" t="s">
        <v>15</v>
      </c>
    </row>
    <row r="267" spans="1:3" ht="23.5" x14ac:dyDescent="0.55000000000000004">
      <c r="A267" s="2" t="s">
        <v>47</v>
      </c>
      <c r="B267" s="51" t="s">
        <v>4</v>
      </c>
      <c r="C267" s="50">
        <v>5</v>
      </c>
    </row>
    <row r="268" spans="1:3" ht="23.5" x14ac:dyDescent="0.55000000000000004">
      <c r="A268" s="2" t="s">
        <v>47</v>
      </c>
      <c r="B268" s="51" t="s">
        <v>5</v>
      </c>
      <c r="C268" s="50" t="s">
        <v>15</v>
      </c>
    </row>
    <row r="269" spans="1:3" ht="23.5" x14ac:dyDescent="0.55000000000000004">
      <c r="A269" s="2" t="s">
        <v>47</v>
      </c>
      <c r="B269" s="51" t="s">
        <v>6</v>
      </c>
      <c r="C269" s="50" t="s">
        <v>15</v>
      </c>
    </row>
    <row r="270" spans="1:3" ht="23.5" x14ac:dyDescent="0.55000000000000004">
      <c r="A270" s="2" t="s">
        <v>47</v>
      </c>
      <c r="B270" s="51" t="s">
        <v>7</v>
      </c>
      <c r="C270" s="50" t="s">
        <v>16</v>
      </c>
    </row>
    <row r="271" spans="1:3" ht="23.5" x14ac:dyDescent="0.55000000000000004">
      <c r="A271" s="2" t="s">
        <v>47</v>
      </c>
      <c r="B271" s="51" t="s">
        <v>8</v>
      </c>
      <c r="C271" s="50" t="s">
        <v>15</v>
      </c>
    </row>
    <row r="272" spans="1:3" ht="23.5" x14ac:dyDescent="0.55000000000000004">
      <c r="A272" s="2" t="s">
        <v>47</v>
      </c>
      <c r="B272" s="51" t="s">
        <v>9</v>
      </c>
      <c r="C272" s="50" t="s">
        <v>15</v>
      </c>
    </row>
    <row r="273" spans="1:3" ht="23.5" x14ac:dyDescent="0.55000000000000004">
      <c r="A273" s="2" t="s">
        <v>47</v>
      </c>
      <c r="B273" s="51" t="s">
        <v>10</v>
      </c>
      <c r="C273" s="50" t="s">
        <v>16</v>
      </c>
    </row>
    <row r="274" spans="1:3" ht="23.5" x14ac:dyDescent="0.55000000000000004">
      <c r="A274" s="2" t="s">
        <v>47</v>
      </c>
      <c r="B274" s="51" t="s">
        <v>11</v>
      </c>
      <c r="C274" s="50" t="s">
        <v>15</v>
      </c>
    </row>
    <row r="275" spans="1:3" ht="23.5" x14ac:dyDescent="0.55000000000000004">
      <c r="A275" s="2" t="s">
        <v>47</v>
      </c>
      <c r="B275" s="51" t="s">
        <v>12</v>
      </c>
      <c r="C275" s="50" t="s">
        <v>16</v>
      </c>
    </row>
    <row r="276" spans="1:3" ht="23.5" x14ac:dyDescent="0.55000000000000004">
      <c r="A276" s="2" t="s">
        <v>47</v>
      </c>
      <c r="B276" s="49" t="s">
        <v>13</v>
      </c>
      <c r="C276" s="50" t="s">
        <v>15</v>
      </c>
    </row>
    <row r="277" spans="1:3" ht="23.5" x14ac:dyDescent="0.4">
      <c r="A277" s="2" t="s">
        <v>48</v>
      </c>
      <c r="B277" s="1" t="s">
        <v>2</v>
      </c>
      <c r="C277" s="4" t="s">
        <v>16</v>
      </c>
    </row>
    <row r="278" spans="1:3" ht="23.5" x14ac:dyDescent="0.55000000000000004">
      <c r="A278" s="2" t="s">
        <v>48</v>
      </c>
      <c r="B278" s="49" t="s">
        <v>3</v>
      </c>
      <c r="C278" s="50" t="s">
        <v>16</v>
      </c>
    </row>
    <row r="279" spans="1:3" ht="23.5" x14ac:dyDescent="0.4">
      <c r="A279" s="2" t="s">
        <v>49</v>
      </c>
      <c r="B279" s="1" t="s">
        <v>2</v>
      </c>
      <c r="C279" s="4" t="s">
        <v>15</v>
      </c>
    </row>
    <row r="280" spans="1:3" ht="23.5" x14ac:dyDescent="0.55000000000000004">
      <c r="A280" s="2" t="s">
        <v>49</v>
      </c>
      <c r="B280" s="49" t="s">
        <v>3</v>
      </c>
      <c r="C280" s="50" t="s">
        <v>15</v>
      </c>
    </row>
    <row r="281" spans="1:3" ht="23.5" x14ac:dyDescent="0.55000000000000004">
      <c r="A281" s="2" t="s">
        <v>49</v>
      </c>
      <c r="B281" s="51" t="s">
        <v>4</v>
      </c>
      <c r="C281" s="50">
        <v>5</v>
      </c>
    </row>
    <row r="282" spans="1:3" ht="23.5" x14ac:dyDescent="0.55000000000000004">
      <c r="A282" s="2" t="s">
        <v>49</v>
      </c>
      <c r="B282" s="51" t="s">
        <v>5</v>
      </c>
      <c r="C282" s="50" t="s">
        <v>16</v>
      </c>
    </row>
    <row r="283" spans="1:3" ht="23.5" x14ac:dyDescent="0.55000000000000004">
      <c r="A283" s="2" t="s">
        <v>49</v>
      </c>
      <c r="B283" s="51" t="s">
        <v>6</v>
      </c>
      <c r="C283" s="50" t="s">
        <v>15</v>
      </c>
    </row>
    <row r="284" spans="1:3" ht="23.5" x14ac:dyDescent="0.55000000000000004">
      <c r="A284" s="2" t="s">
        <v>49</v>
      </c>
      <c r="B284" s="51" t="s">
        <v>7</v>
      </c>
      <c r="C284" s="50" t="s">
        <v>16</v>
      </c>
    </row>
    <row r="285" spans="1:3" ht="23.5" x14ac:dyDescent="0.55000000000000004">
      <c r="A285" s="2" t="s">
        <v>49</v>
      </c>
      <c r="B285" s="51" t="s">
        <v>8</v>
      </c>
      <c r="C285" s="50" t="s">
        <v>15</v>
      </c>
    </row>
    <row r="286" spans="1:3" ht="23.5" x14ac:dyDescent="0.55000000000000004">
      <c r="A286" s="2" t="s">
        <v>49</v>
      </c>
      <c r="B286" s="51" t="s">
        <v>9</v>
      </c>
      <c r="C286" s="50" t="s">
        <v>15</v>
      </c>
    </row>
    <row r="287" spans="1:3" ht="23.5" x14ac:dyDescent="0.55000000000000004">
      <c r="A287" s="2" t="s">
        <v>49</v>
      </c>
      <c r="B287" s="51" t="s">
        <v>10</v>
      </c>
      <c r="C287" s="50" t="s">
        <v>15</v>
      </c>
    </row>
    <row r="288" spans="1:3" ht="23.5" x14ac:dyDescent="0.55000000000000004">
      <c r="A288" s="2" t="s">
        <v>49</v>
      </c>
      <c r="B288" s="51" t="s">
        <v>11</v>
      </c>
      <c r="C288" s="50" t="s">
        <v>15</v>
      </c>
    </row>
    <row r="289" spans="1:3" ht="23.5" x14ac:dyDescent="0.55000000000000004">
      <c r="A289" s="2" t="s">
        <v>49</v>
      </c>
      <c r="B289" s="51" t="s">
        <v>12</v>
      </c>
      <c r="C289" s="50" t="s">
        <v>16</v>
      </c>
    </row>
    <row r="290" spans="1:3" ht="23.5" x14ac:dyDescent="0.55000000000000004">
      <c r="A290" s="2" t="s">
        <v>49</v>
      </c>
      <c r="B290" s="49" t="s">
        <v>13</v>
      </c>
      <c r="C290" s="50" t="s">
        <v>15</v>
      </c>
    </row>
    <row r="291" spans="1:3" ht="23.5" x14ac:dyDescent="0.4">
      <c r="A291" s="2" t="s">
        <v>51</v>
      </c>
      <c r="B291" s="1" t="s">
        <v>2</v>
      </c>
      <c r="C291" s="4" t="s">
        <v>15</v>
      </c>
    </row>
    <row r="292" spans="1:3" ht="23.5" x14ac:dyDescent="0.55000000000000004">
      <c r="A292" s="2" t="s">
        <v>51</v>
      </c>
      <c r="B292" s="49" t="s">
        <v>3</v>
      </c>
      <c r="C292" s="50" t="s">
        <v>15</v>
      </c>
    </row>
    <row r="293" spans="1:3" ht="23.5" x14ac:dyDescent="0.55000000000000004">
      <c r="A293" s="2" t="s">
        <v>51</v>
      </c>
      <c r="B293" s="51" t="s">
        <v>4</v>
      </c>
      <c r="C293" s="50">
        <v>5</v>
      </c>
    </row>
    <row r="294" spans="1:3" ht="23.5" x14ac:dyDescent="0.55000000000000004">
      <c r="A294" s="2" t="s">
        <v>51</v>
      </c>
      <c r="B294" s="51" t="s">
        <v>5</v>
      </c>
      <c r="C294" s="50" t="s">
        <v>15</v>
      </c>
    </row>
    <row r="295" spans="1:3" ht="23.5" x14ac:dyDescent="0.55000000000000004">
      <c r="A295" s="2" t="s">
        <v>51</v>
      </c>
      <c r="B295" s="51" t="s">
        <v>6</v>
      </c>
      <c r="C295" s="50" t="s">
        <v>15</v>
      </c>
    </row>
    <row r="296" spans="1:3" ht="23.5" x14ac:dyDescent="0.55000000000000004">
      <c r="A296" s="2" t="s">
        <v>51</v>
      </c>
      <c r="B296" s="51" t="s">
        <v>7</v>
      </c>
      <c r="C296" s="50" t="s">
        <v>16</v>
      </c>
    </row>
    <row r="297" spans="1:3" ht="23.5" x14ac:dyDescent="0.55000000000000004">
      <c r="A297" s="2" t="s">
        <v>51</v>
      </c>
      <c r="B297" s="51" t="s">
        <v>8</v>
      </c>
      <c r="C297" s="50" t="s">
        <v>15</v>
      </c>
    </row>
    <row r="298" spans="1:3" ht="23.5" x14ac:dyDescent="0.55000000000000004">
      <c r="A298" s="2" t="s">
        <v>51</v>
      </c>
      <c r="B298" s="51" t="s">
        <v>9</v>
      </c>
      <c r="C298" s="50" t="s">
        <v>15</v>
      </c>
    </row>
    <row r="299" spans="1:3" ht="23.5" x14ac:dyDescent="0.55000000000000004">
      <c r="A299" s="2" t="s">
        <v>51</v>
      </c>
      <c r="B299" s="51" t="s">
        <v>10</v>
      </c>
      <c r="C299" s="50" t="s">
        <v>16</v>
      </c>
    </row>
    <row r="300" spans="1:3" ht="23.5" x14ac:dyDescent="0.55000000000000004">
      <c r="A300" s="2" t="s">
        <v>51</v>
      </c>
      <c r="B300" s="51" t="s">
        <v>11</v>
      </c>
      <c r="C300" s="50" t="s">
        <v>15</v>
      </c>
    </row>
    <row r="301" spans="1:3" ht="23.5" x14ac:dyDescent="0.55000000000000004">
      <c r="A301" s="2" t="s">
        <v>51</v>
      </c>
      <c r="B301" s="51" t="s">
        <v>12</v>
      </c>
      <c r="C301" s="50" t="s">
        <v>16</v>
      </c>
    </row>
    <row r="302" spans="1:3" ht="23.5" x14ac:dyDescent="0.55000000000000004">
      <c r="A302" s="2" t="s">
        <v>51</v>
      </c>
      <c r="B302" s="49" t="s">
        <v>13</v>
      </c>
      <c r="C302" s="50" t="s">
        <v>15</v>
      </c>
    </row>
    <row r="303" spans="1:3" ht="23.5" x14ac:dyDescent="0.4">
      <c r="A303" s="2" t="s">
        <v>52</v>
      </c>
      <c r="B303" s="1" t="s">
        <v>2</v>
      </c>
      <c r="C303" s="4" t="s">
        <v>15</v>
      </c>
    </row>
    <row r="304" spans="1:3" ht="23.5" x14ac:dyDescent="0.55000000000000004">
      <c r="A304" s="2" t="s">
        <v>52</v>
      </c>
      <c r="B304" s="49" t="s">
        <v>3</v>
      </c>
      <c r="C304" s="50" t="s">
        <v>15</v>
      </c>
    </row>
    <row r="305" spans="1:3" ht="23.5" x14ac:dyDescent="0.55000000000000004">
      <c r="A305" s="2" t="s">
        <v>52</v>
      </c>
      <c r="B305" s="51" t="s">
        <v>4</v>
      </c>
      <c r="C305" s="50">
        <v>7</v>
      </c>
    </row>
    <row r="306" spans="1:3" ht="23.5" x14ac:dyDescent="0.55000000000000004">
      <c r="A306" s="2" t="s">
        <v>52</v>
      </c>
      <c r="B306" s="51" t="s">
        <v>5</v>
      </c>
      <c r="C306" s="50" t="s">
        <v>15</v>
      </c>
    </row>
    <row r="307" spans="1:3" ht="23.5" x14ac:dyDescent="0.55000000000000004">
      <c r="A307" s="2" t="s">
        <v>52</v>
      </c>
      <c r="B307" s="51" t="s">
        <v>6</v>
      </c>
      <c r="C307" s="50" t="s">
        <v>15</v>
      </c>
    </row>
    <row r="308" spans="1:3" ht="23.5" x14ac:dyDescent="0.55000000000000004">
      <c r="A308" s="2" t="s">
        <v>52</v>
      </c>
      <c r="B308" s="51" t="s">
        <v>7</v>
      </c>
      <c r="C308" s="50" t="s">
        <v>15</v>
      </c>
    </row>
    <row r="309" spans="1:3" ht="23.5" x14ac:dyDescent="0.55000000000000004">
      <c r="A309" s="2" t="s">
        <v>52</v>
      </c>
      <c r="B309" s="51" t="s">
        <v>8</v>
      </c>
      <c r="C309" s="50" t="s">
        <v>15</v>
      </c>
    </row>
    <row r="310" spans="1:3" ht="23.5" x14ac:dyDescent="0.55000000000000004">
      <c r="A310" s="2" t="s">
        <v>52</v>
      </c>
      <c r="B310" s="51" t="s">
        <v>9</v>
      </c>
      <c r="C310" s="50" t="s">
        <v>15</v>
      </c>
    </row>
    <row r="311" spans="1:3" ht="23.5" x14ac:dyDescent="0.55000000000000004">
      <c r="A311" s="2" t="s">
        <v>52</v>
      </c>
      <c r="B311" s="51" t="s">
        <v>10</v>
      </c>
      <c r="C311" s="50" t="s">
        <v>15</v>
      </c>
    </row>
    <row r="312" spans="1:3" ht="23.5" x14ac:dyDescent="0.55000000000000004">
      <c r="A312" s="2" t="s">
        <v>52</v>
      </c>
      <c r="B312" s="51" t="s">
        <v>11</v>
      </c>
      <c r="C312" s="50" t="s">
        <v>15</v>
      </c>
    </row>
    <row r="313" spans="1:3" ht="23.5" x14ac:dyDescent="0.55000000000000004">
      <c r="A313" s="2" t="s">
        <v>52</v>
      </c>
      <c r="B313" s="51" t="s">
        <v>12</v>
      </c>
      <c r="C313" s="50" t="s">
        <v>15</v>
      </c>
    </row>
    <row r="314" spans="1:3" ht="23.5" x14ac:dyDescent="0.55000000000000004">
      <c r="A314" s="2" t="s">
        <v>52</v>
      </c>
      <c r="B314" s="49" t="s">
        <v>13</v>
      </c>
      <c r="C314" s="50" t="s">
        <v>16</v>
      </c>
    </row>
  </sheetData>
  <autoFilter ref="A1:C314" xr:uid="{6CFF47EA-6A79-2149-ABA8-AD5C351E803D}"/>
  <dataValidations count="4">
    <dataValidation type="list" allowBlank="1" showInputMessage="1" showErrorMessage="1" promptTitle="Select from the list" prompt="Select from the list" sqref="C4 C16 C28 C42 C57 C69 C83 C95 C110 C122 C134 C146 C158 C169 C185 C197 C209 C221 C241 C253 C267 C281 C293 C305" xr:uid="{33DE89C6-9A4B-3246-9F48-F28212E13751}">
      <formula1>"1, 2, 3, 4, 5, 6, 7, 8, 9, 10"</formula1>
    </dataValidation>
    <dataValidation type="list" allowBlank="1" showInputMessage="1" showErrorMessage="1" promptTitle="Select from the list" prompt="Select from the list" sqref="C2 C14 C26 C38 C40 C52 C55 C67 C79 C81 C93 C105 C108 C120 C132 C144 C156 C167 C179 C181 C183 C192 C195 C207 C219 C231 C237 C239 C251 C263 C265 C277 C279 C291 C303" xr:uid="{7F605383-AE66-CB44-9320-1CD3A4B61393}">
      <formula1>"YES, NO, IN PROGRESS"</formula1>
    </dataValidation>
    <dataValidation type="list" allowBlank="1" showInputMessage="1" showErrorMessage="1" promptTitle="Select from the list" prompt="Select from the list" sqref="C3 C5:C13 C15 C17:C25 C27 C29:C37 C39 C41 C43:C51 C56 C58:C66 C68 C70:C78 C80 C82 C84:C92 C94 C96:C104 C109 C111:C119 C121 C123:C131 C133 C135:C143 C145 C147:C155 C157 C159:C166 C168 C170:C178 C180 C182 C184 C186:C191 C196 C198:C206 C208 C210:C218 C220 C222:C230 C238 C240 C242:C250 C252 C254:C262 C264 C266 C268:C276 C278 C280 C282:C290 C292 C294:C302 C304 C306:C314 C232:C236 C193:C194 C106:C107 C53:C54" xr:uid="{F59ED7F3-2C20-564D-AC86-D8E4DBF59706}">
      <formula1>"YES, NO"</formula1>
    </dataValidation>
    <dataValidation type="list" allowBlank="1" showInputMessage="1" showErrorMessage="1" sqref="A2:A314" xr:uid="{BAB3D27E-4DB4-1641-AEF3-2868AB33A5F7}">
      <formula1>Country</formula1>
    </dataValidation>
  </dataValidation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772461-A853-DB41-BC4C-ADFF1209A08A}">
  <dimension ref="B3:O117"/>
  <sheetViews>
    <sheetView showGridLines="0" topLeftCell="C1" workbookViewId="0">
      <selection activeCell="I17" sqref="I17"/>
    </sheetView>
  </sheetViews>
  <sheetFormatPr defaultColWidth="10.6640625" defaultRowHeight="16" x14ac:dyDescent="0.4"/>
  <cols>
    <col min="2" max="2" width="38.5" bestFit="1" customWidth="1"/>
    <col min="3" max="3" width="20.83203125" bestFit="1" customWidth="1"/>
    <col min="4" max="4" width="111.83203125" bestFit="1" customWidth="1"/>
    <col min="5" max="5" width="13.33203125" bestFit="1" customWidth="1"/>
    <col min="9" max="9" width="20.83203125" bestFit="1" customWidth="1"/>
    <col min="10" max="10" width="71.1640625" style="34" customWidth="1"/>
  </cols>
  <sheetData>
    <row r="3" spans="2:15" ht="24" thickBot="1" x14ac:dyDescent="0.6">
      <c r="B3" s="29" t="s">
        <v>53</v>
      </c>
      <c r="C3" s="29" t="s">
        <v>105</v>
      </c>
      <c r="D3" s="29" t="s">
        <v>106</v>
      </c>
      <c r="E3" s="30" t="s">
        <v>107</v>
      </c>
      <c r="I3" s="46" t="s">
        <v>105</v>
      </c>
      <c r="J3" s="47" t="s">
        <v>106</v>
      </c>
      <c r="K3" s="48" t="s">
        <v>98</v>
      </c>
      <c r="L3" s="48" t="s">
        <v>102</v>
      </c>
      <c r="M3" s="48" t="s">
        <v>113</v>
      </c>
      <c r="N3" s="48" t="s">
        <v>114</v>
      </c>
      <c r="O3" s="48" t="s">
        <v>112</v>
      </c>
    </row>
    <row r="4" spans="2:15" ht="24.5" thickTop="1" thickBot="1" x14ac:dyDescent="0.6">
      <c r="B4" s="4" t="s">
        <v>14</v>
      </c>
      <c r="C4" s="21" t="s">
        <v>56</v>
      </c>
      <c r="D4" s="5" t="s">
        <v>108</v>
      </c>
      <c r="E4" s="27" t="s">
        <v>15</v>
      </c>
      <c r="I4" s="9" t="s">
        <v>56</v>
      </c>
      <c r="J4" s="39" t="s">
        <v>115</v>
      </c>
      <c r="K4" s="42">
        <f>COUNTIFS($D:$D,$J4,$E:$E,K$3)</f>
        <v>28</v>
      </c>
      <c r="L4" s="42">
        <f>COUNTIFS($D:$D,$J4,$E:$E,L$3)</f>
        <v>1</v>
      </c>
      <c r="M4" s="43">
        <f>K4/O4</f>
        <v>0.96551724137931039</v>
      </c>
      <c r="N4" s="43">
        <f>L4/O4</f>
        <v>3.4482758620689655E-2</v>
      </c>
      <c r="O4" s="42">
        <f>K4+L4</f>
        <v>29</v>
      </c>
    </row>
    <row r="5" spans="2:15" ht="24" thickBot="1" x14ac:dyDescent="0.6">
      <c r="B5" s="4" t="s">
        <v>14</v>
      </c>
      <c r="C5" s="21" t="s">
        <v>57</v>
      </c>
      <c r="D5" s="5" t="s">
        <v>109</v>
      </c>
      <c r="E5" s="27" t="s">
        <v>15</v>
      </c>
      <c r="I5" s="9" t="s">
        <v>57</v>
      </c>
      <c r="J5" s="39" t="s">
        <v>116</v>
      </c>
      <c r="K5" s="42">
        <f t="shared" ref="K5:L7" si="0">COUNTIFS($D:$D,$J5,$E:$E,K$3)</f>
        <v>25</v>
      </c>
      <c r="L5" s="42">
        <f t="shared" si="0"/>
        <v>4</v>
      </c>
      <c r="M5" s="43">
        <f t="shared" ref="M5:M7" si="1">K5/O5</f>
        <v>0.86206896551724133</v>
      </c>
      <c r="N5" s="43">
        <f t="shared" ref="N5:N7" si="2">L5/O5</f>
        <v>0.13793103448275862</v>
      </c>
      <c r="O5" s="42">
        <f t="shared" ref="O5:O7" si="3">K5+L5</f>
        <v>29</v>
      </c>
    </row>
    <row r="6" spans="2:15" ht="24" thickBot="1" x14ac:dyDescent="0.6">
      <c r="B6" s="4" t="s">
        <v>14</v>
      </c>
      <c r="C6" s="21" t="s">
        <v>58</v>
      </c>
      <c r="D6" s="5" t="s">
        <v>110</v>
      </c>
      <c r="E6" s="27" t="s">
        <v>16</v>
      </c>
      <c r="I6" s="9" t="s">
        <v>58</v>
      </c>
      <c r="J6" s="39" t="s">
        <v>117</v>
      </c>
      <c r="K6" s="42">
        <f t="shared" si="0"/>
        <v>15</v>
      </c>
      <c r="L6" s="42">
        <f t="shared" si="0"/>
        <v>13</v>
      </c>
      <c r="M6" s="43">
        <f t="shared" si="1"/>
        <v>0.5357142857142857</v>
      </c>
      <c r="N6" s="43">
        <f t="shared" si="2"/>
        <v>0.4642857142857143</v>
      </c>
      <c r="O6" s="42">
        <f t="shared" si="3"/>
        <v>28</v>
      </c>
    </row>
    <row r="7" spans="2:15" ht="31.5" thickBot="1" x14ac:dyDescent="0.6">
      <c r="B7" s="4" t="s">
        <v>14</v>
      </c>
      <c r="C7" s="21" t="s">
        <v>59</v>
      </c>
      <c r="D7" s="21" t="s">
        <v>111</v>
      </c>
      <c r="E7" s="27" t="s">
        <v>15</v>
      </c>
      <c r="I7" s="40" t="s">
        <v>59</v>
      </c>
      <c r="J7" s="41" t="s">
        <v>118</v>
      </c>
      <c r="K7" s="44">
        <f t="shared" si="0"/>
        <v>18</v>
      </c>
      <c r="L7" s="44">
        <f t="shared" si="0"/>
        <v>10</v>
      </c>
      <c r="M7" s="45">
        <f t="shared" si="1"/>
        <v>0.6428571428571429</v>
      </c>
      <c r="N7" s="45">
        <f t="shared" si="2"/>
        <v>0.35714285714285715</v>
      </c>
      <c r="O7" s="44">
        <f t="shared" si="3"/>
        <v>28</v>
      </c>
    </row>
    <row r="8" spans="2:15" ht="24" thickBot="1" x14ac:dyDescent="0.45">
      <c r="B8" s="4" t="s">
        <v>17</v>
      </c>
      <c r="C8" s="21" t="s">
        <v>56</v>
      </c>
      <c r="D8" s="5" t="s">
        <v>108</v>
      </c>
      <c r="E8" s="28" t="s">
        <v>15</v>
      </c>
    </row>
    <row r="9" spans="2:15" ht="24" thickBot="1" x14ac:dyDescent="0.45">
      <c r="B9" s="4" t="s">
        <v>17</v>
      </c>
      <c r="C9" s="21" t="s">
        <v>57</v>
      </c>
      <c r="D9" s="5" t="s">
        <v>109</v>
      </c>
      <c r="E9" s="28" t="s">
        <v>15</v>
      </c>
    </row>
    <row r="10" spans="2:15" ht="24" thickBot="1" x14ac:dyDescent="0.45">
      <c r="B10" s="4" t="s">
        <v>17</v>
      </c>
      <c r="C10" s="21" t="s">
        <v>58</v>
      </c>
      <c r="D10" s="5" t="s">
        <v>110</v>
      </c>
      <c r="E10" s="28" t="s">
        <v>15</v>
      </c>
    </row>
    <row r="11" spans="2:15" ht="24" thickBot="1" x14ac:dyDescent="0.45">
      <c r="B11" s="4" t="s">
        <v>17</v>
      </c>
      <c r="C11" s="21" t="s">
        <v>59</v>
      </c>
      <c r="D11" s="21" t="s">
        <v>111</v>
      </c>
      <c r="E11" s="28" t="s">
        <v>15</v>
      </c>
    </row>
    <row r="12" spans="2:15" ht="24" thickBot="1" x14ac:dyDescent="0.6">
      <c r="B12" s="4" t="s">
        <v>18</v>
      </c>
      <c r="C12" s="21" t="s">
        <v>56</v>
      </c>
      <c r="D12" s="5" t="s">
        <v>108</v>
      </c>
      <c r="E12" s="27" t="s">
        <v>15</v>
      </c>
    </row>
    <row r="13" spans="2:15" ht="24" thickBot="1" x14ac:dyDescent="0.6">
      <c r="B13" s="4" t="s">
        <v>18</v>
      </c>
      <c r="C13" s="21" t="s">
        <v>57</v>
      </c>
      <c r="D13" s="5" t="s">
        <v>109</v>
      </c>
      <c r="E13" s="27" t="s">
        <v>15</v>
      </c>
    </row>
    <row r="14" spans="2:15" ht="24" thickBot="1" x14ac:dyDescent="0.6">
      <c r="B14" s="4" t="s">
        <v>18</v>
      </c>
      <c r="C14" s="21" t="s">
        <v>58</v>
      </c>
      <c r="D14" s="5" t="s">
        <v>110</v>
      </c>
      <c r="E14" s="27" t="s">
        <v>15</v>
      </c>
    </row>
    <row r="15" spans="2:15" ht="24" thickBot="1" x14ac:dyDescent="0.6">
      <c r="B15" s="4" t="s">
        <v>18</v>
      </c>
      <c r="C15" s="21" t="s">
        <v>59</v>
      </c>
      <c r="D15" s="21" t="s">
        <v>111</v>
      </c>
      <c r="E15" s="27" t="s">
        <v>15</v>
      </c>
    </row>
    <row r="16" spans="2:15" ht="24" thickBot="1" x14ac:dyDescent="0.6">
      <c r="B16" s="4" t="s">
        <v>19</v>
      </c>
      <c r="C16" s="21" t="s">
        <v>56</v>
      </c>
      <c r="D16" s="5" t="s">
        <v>108</v>
      </c>
      <c r="E16" s="27" t="s">
        <v>15</v>
      </c>
    </row>
    <row r="17" spans="2:5" ht="24" thickBot="1" x14ac:dyDescent="0.6">
      <c r="B17" s="4" t="s">
        <v>19</v>
      </c>
      <c r="C17" s="21" t="s">
        <v>57</v>
      </c>
      <c r="D17" s="5" t="s">
        <v>109</v>
      </c>
      <c r="E17" s="27" t="s">
        <v>15</v>
      </c>
    </row>
    <row r="18" spans="2:5" ht="24" thickBot="1" x14ac:dyDescent="0.6">
      <c r="B18" s="4" t="s">
        <v>19</v>
      </c>
      <c r="C18" s="21" t="s">
        <v>58</v>
      </c>
      <c r="D18" s="5" t="s">
        <v>110</v>
      </c>
      <c r="E18" s="27" t="s">
        <v>15</v>
      </c>
    </row>
    <row r="19" spans="2:5" ht="24" thickBot="1" x14ac:dyDescent="0.6">
      <c r="B19" s="4" t="s">
        <v>19</v>
      </c>
      <c r="C19" s="21" t="s">
        <v>59</v>
      </c>
      <c r="D19" s="21" t="s">
        <v>111</v>
      </c>
      <c r="E19" s="27" t="s">
        <v>15</v>
      </c>
    </row>
    <row r="20" spans="2:5" ht="24" thickBot="1" x14ac:dyDescent="0.6">
      <c r="B20" s="4" t="s">
        <v>21</v>
      </c>
      <c r="C20" s="21" t="s">
        <v>56</v>
      </c>
      <c r="D20" s="5" t="s">
        <v>108</v>
      </c>
      <c r="E20" s="27" t="s">
        <v>15</v>
      </c>
    </row>
    <row r="21" spans="2:5" ht="24" thickBot="1" x14ac:dyDescent="0.6">
      <c r="B21" s="4" t="s">
        <v>21</v>
      </c>
      <c r="C21" s="21" t="s">
        <v>57</v>
      </c>
      <c r="D21" s="5" t="s">
        <v>109</v>
      </c>
      <c r="E21" s="27" t="s">
        <v>15</v>
      </c>
    </row>
    <row r="22" spans="2:5" ht="24" thickBot="1" x14ac:dyDescent="0.6">
      <c r="B22" s="4" t="s">
        <v>21</v>
      </c>
      <c r="C22" s="21" t="s">
        <v>58</v>
      </c>
      <c r="D22" s="5" t="s">
        <v>110</v>
      </c>
      <c r="E22" s="27" t="s">
        <v>16</v>
      </c>
    </row>
    <row r="23" spans="2:5" ht="24" thickBot="1" x14ac:dyDescent="0.6">
      <c r="B23" s="4" t="s">
        <v>21</v>
      </c>
      <c r="C23" s="21" t="s">
        <v>59</v>
      </c>
      <c r="D23" s="21" t="s">
        <v>111</v>
      </c>
      <c r="E23" s="27" t="s">
        <v>16</v>
      </c>
    </row>
    <row r="24" spans="2:5" ht="24" thickBot="1" x14ac:dyDescent="0.6">
      <c r="B24" s="4" t="s">
        <v>22</v>
      </c>
      <c r="C24" s="21" t="s">
        <v>56</v>
      </c>
      <c r="D24" s="5" t="s">
        <v>108</v>
      </c>
      <c r="E24" s="27" t="s">
        <v>15</v>
      </c>
    </row>
    <row r="25" spans="2:5" ht="24" thickBot="1" x14ac:dyDescent="0.6">
      <c r="B25" s="4" t="s">
        <v>22</v>
      </c>
      <c r="C25" s="21" t="s">
        <v>57</v>
      </c>
      <c r="D25" s="5" t="s">
        <v>109</v>
      </c>
      <c r="E25" s="27" t="s">
        <v>15</v>
      </c>
    </row>
    <row r="26" spans="2:5" ht="24" thickBot="1" x14ac:dyDescent="0.6">
      <c r="B26" s="4" t="s">
        <v>22</v>
      </c>
      <c r="C26" s="21" t="s">
        <v>58</v>
      </c>
      <c r="D26" s="5" t="s">
        <v>110</v>
      </c>
      <c r="E26" s="27" t="s">
        <v>15</v>
      </c>
    </row>
    <row r="27" spans="2:5" ht="24" thickBot="1" x14ac:dyDescent="0.6">
      <c r="B27" s="4" t="s">
        <v>22</v>
      </c>
      <c r="C27" s="21" t="s">
        <v>59</v>
      </c>
      <c r="D27" s="21" t="s">
        <v>111</v>
      </c>
      <c r="E27" s="27" t="s">
        <v>15</v>
      </c>
    </row>
    <row r="28" spans="2:5" ht="24" thickBot="1" x14ac:dyDescent="0.6">
      <c r="B28" s="4" t="s">
        <v>23</v>
      </c>
      <c r="C28" s="21" t="s">
        <v>56</v>
      </c>
      <c r="D28" s="5" t="s">
        <v>108</v>
      </c>
      <c r="E28" s="27" t="s">
        <v>15</v>
      </c>
    </row>
    <row r="29" spans="2:5" ht="24" thickBot="1" x14ac:dyDescent="0.6">
      <c r="B29" s="4" t="s">
        <v>23</v>
      </c>
      <c r="C29" s="21" t="s">
        <v>57</v>
      </c>
      <c r="D29" s="5" t="s">
        <v>109</v>
      </c>
      <c r="E29" s="27" t="s">
        <v>16</v>
      </c>
    </row>
    <row r="30" spans="2:5" ht="24" thickBot="1" x14ac:dyDescent="0.6">
      <c r="B30" s="4" t="s">
        <v>23</v>
      </c>
      <c r="C30" s="21" t="s">
        <v>58</v>
      </c>
      <c r="D30" s="5" t="s">
        <v>110</v>
      </c>
      <c r="E30" s="27" t="s">
        <v>15</v>
      </c>
    </row>
    <row r="31" spans="2:5" ht="24" thickBot="1" x14ac:dyDescent="0.6">
      <c r="B31" s="4" t="s">
        <v>23</v>
      </c>
      <c r="C31" s="21" t="s">
        <v>59</v>
      </c>
      <c r="D31" s="21" t="s">
        <v>111</v>
      </c>
      <c r="E31" s="27" t="s">
        <v>15</v>
      </c>
    </row>
    <row r="32" spans="2:5" ht="24" thickBot="1" x14ac:dyDescent="0.6">
      <c r="B32" s="4" t="s">
        <v>24</v>
      </c>
      <c r="C32" s="21" t="s">
        <v>56</v>
      </c>
      <c r="D32" s="5" t="s">
        <v>108</v>
      </c>
      <c r="E32" s="27" t="s">
        <v>15</v>
      </c>
    </row>
    <row r="33" spans="2:5" ht="24" thickBot="1" x14ac:dyDescent="0.6">
      <c r="B33" s="4" t="s">
        <v>24</v>
      </c>
      <c r="C33" s="21" t="s">
        <v>57</v>
      </c>
      <c r="D33" s="5" t="s">
        <v>109</v>
      </c>
      <c r="E33" s="27" t="s">
        <v>15</v>
      </c>
    </row>
    <row r="34" spans="2:5" ht="24" thickBot="1" x14ac:dyDescent="0.6">
      <c r="B34" s="4" t="s">
        <v>24</v>
      </c>
      <c r="C34" s="21" t="s">
        <v>58</v>
      </c>
      <c r="D34" s="5" t="s">
        <v>110</v>
      </c>
      <c r="E34" s="27" t="s">
        <v>15</v>
      </c>
    </row>
    <row r="35" spans="2:5" ht="24" thickBot="1" x14ac:dyDescent="0.6">
      <c r="B35" s="4" t="s">
        <v>24</v>
      </c>
      <c r="C35" s="21" t="s">
        <v>59</v>
      </c>
      <c r="D35" s="21" t="s">
        <v>111</v>
      </c>
      <c r="E35" s="27" t="s">
        <v>15</v>
      </c>
    </row>
    <row r="36" spans="2:5" ht="24" thickBot="1" x14ac:dyDescent="0.6">
      <c r="B36" s="4" t="s">
        <v>25</v>
      </c>
      <c r="C36" s="21" t="s">
        <v>56</v>
      </c>
      <c r="D36" s="5" t="s">
        <v>108</v>
      </c>
      <c r="E36" s="27" t="s">
        <v>15</v>
      </c>
    </row>
    <row r="37" spans="2:5" ht="24" thickBot="1" x14ac:dyDescent="0.6">
      <c r="B37" s="4" t="s">
        <v>25</v>
      </c>
      <c r="C37" s="21" t="s">
        <v>57</v>
      </c>
      <c r="D37" s="5" t="s">
        <v>109</v>
      </c>
      <c r="E37" s="27" t="s">
        <v>15</v>
      </c>
    </row>
    <row r="38" spans="2:5" ht="24" thickBot="1" x14ac:dyDescent="0.6">
      <c r="B38" s="4" t="s">
        <v>25</v>
      </c>
      <c r="C38" s="21" t="s">
        <v>58</v>
      </c>
      <c r="D38" s="5" t="s">
        <v>110</v>
      </c>
      <c r="E38" s="27" t="s">
        <v>15</v>
      </c>
    </row>
    <row r="39" spans="2:5" ht="24" thickBot="1" x14ac:dyDescent="0.6">
      <c r="B39" s="4" t="s">
        <v>25</v>
      </c>
      <c r="C39" s="21" t="s">
        <v>59</v>
      </c>
      <c r="D39" s="21" t="s">
        <v>111</v>
      </c>
      <c r="E39" s="27" t="s">
        <v>16</v>
      </c>
    </row>
    <row r="40" spans="2:5" ht="24" thickBot="1" x14ac:dyDescent="0.6">
      <c r="B40" s="4" t="s">
        <v>26</v>
      </c>
      <c r="C40" s="21" t="s">
        <v>56</v>
      </c>
      <c r="D40" s="5" t="s">
        <v>108</v>
      </c>
      <c r="E40" s="27" t="s">
        <v>15</v>
      </c>
    </row>
    <row r="41" spans="2:5" ht="24" thickBot="1" x14ac:dyDescent="0.6">
      <c r="B41" s="4" t="s">
        <v>26</v>
      </c>
      <c r="C41" s="21" t="s">
        <v>57</v>
      </c>
      <c r="D41" s="5" t="s">
        <v>109</v>
      </c>
      <c r="E41" s="27" t="s">
        <v>15</v>
      </c>
    </row>
    <row r="42" spans="2:5" ht="24" thickBot="1" x14ac:dyDescent="0.6">
      <c r="B42" s="4" t="s">
        <v>26</v>
      </c>
      <c r="C42" s="21" t="s">
        <v>58</v>
      </c>
      <c r="D42" s="5" t="s">
        <v>110</v>
      </c>
      <c r="E42" s="27" t="s">
        <v>15</v>
      </c>
    </row>
    <row r="43" spans="2:5" ht="24" thickBot="1" x14ac:dyDescent="0.6">
      <c r="B43" s="4" t="s">
        <v>26</v>
      </c>
      <c r="C43" s="21" t="s">
        <v>59</v>
      </c>
      <c r="D43" s="21" t="s">
        <v>111</v>
      </c>
      <c r="E43" s="27" t="s">
        <v>16</v>
      </c>
    </row>
    <row r="44" spans="2:5" ht="24" thickBot="1" x14ac:dyDescent="0.6">
      <c r="B44" s="4" t="s">
        <v>27</v>
      </c>
      <c r="C44" s="21" t="s">
        <v>56</v>
      </c>
      <c r="D44" s="5" t="s">
        <v>108</v>
      </c>
      <c r="E44" s="27" t="s">
        <v>16</v>
      </c>
    </row>
    <row r="45" spans="2:5" ht="24" thickBot="1" x14ac:dyDescent="0.6">
      <c r="B45" s="4" t="s">
        <v>27</v>
      </c>
      <c r="C45" s="21" t="s">
        <v>57</v>
      </c>
      <c r="D45" s="5" t="s">
        <v>109</v>
      </c>
      <c r="E45" s="27" t="s">
        <v>15</v>
      </c>
    </row>
    <row r="46" spans="2:5" ht="24" thickBot="1" x14ac:dyDescent="0.6">
      <c r="B46" s="4" t="s">
        <v>28</v>
      </c>
      <c r="C46" s="21" t="s">
        <v>56</v>
      </c>
      <c r="D46" s="5" t="s">
        <v>108</v>
      </c>
      <c r="E46" s="27" t="s">
        <v>15</v>
      </c>
    </row>
    <row r="47" spans="2:5" ht="24" thickBot="1" x14ac:dyDescent="0.6">
      <c r="B47" s="4" t="s">
        <v>28</v>
      </c>
      <c r="C47" s="21" t="s">
        <v>57</v>
      </c>
      <c r="D47" s="5" t="s">
        <v>109</v>
      </c>
      <c r="E47" s="27" t="s">
        <v>15</v>
      </c>
    </row>
    <row r="48" spans="2:5" ht="24" thickBot="1" x14ac:dyDescent="0.6">
      <c r="B48" s="4" t="s">
        <v>28</v>
      </c>
      <c r="C48" s="21" t="s">
        <v>58</v>
      </c>
      <c r="D48" s="5" t="s">
        <v>110</v>
      </c>
      <c r="E48" s="27" t="s">
        <v>16</v>
      </c>
    </row>
    <row r="49" spans="2:5" ht="24" thickBot="1" x14ac:dyDescent="0.6">
      <c r="B49" s="4" t="s">
        <v>28</v>
      </c>
      <c r="C49" s="21" t="s">
        <v>59</v>
      </c>
      <c r="D49" s="21" t="s">
        <v>111</v>
      </c>
      <c r="E49" s="27" t="s">
        <v>16</v>
      </c>
    </row>
    <row r="50" spans="2:5" ht="24" thickBot="1" x14ac:dyDescent="0.6">
      <c r="B50" s="4" t="s">
        <v>29</v>
      </c>
      <c r="C50" s="21" t="s">
        <v>56</v>
      </c>
      <c r="D50" s="5" t="s">
        <v>108</v>
      </c>
      <c r="E50" s="27" t="s">
        <v>15</v>
      </c>
    </row>
    <row r="51" spans="2:5" ht="24" thickBot="1" x14ac:dyDescent="0.6">
      <c r="B51" s="4" t="s">
        <v>29</v>
      </c>
      <c r="C51" s="21" t="s">
        <v>57</v>
      </c>
      <c r="D51" s="5" t="s">
        <v>109</v>
      </c>
      <c r="E51" s="27" t="s">
        <v>16</v>
      </c>
    </row>
    <row r="52" spans="2:5" ht="24" thickBot="1" x14ac:dyDescent="0.6">
      <c r="B52" s="4" t="s">
        <v>29</v>
      </c>
      <c r="C52" s="21" t="s">
        <v>58</v>
      </c>
      <c r="D52" s="5" t="s">
        <v>110</v>
      </c>
      <c r="E52" s="27" t="s">
        <v>15</v>
      </c>
    </row>
    <row r="53" spans="2:5" ht="24" thickBot="1" x14ac:dyDescent="0.6">
      <c r="B53" s="4" t="s">
        <v>29</v>
      </c>
      <c r="C53" s="21" t="s">
        <v>59</v>
      </c>
      <c r="D53" s="21" t="s">
        <v>111</v>
      </c>
      <c r="E53" s="27" t="s">
        <v>15</v>
      </c>
    </row>
    <row r="54" spans="2:5" ht="24" thickBot="1" x14ac:dyDescent="0.6">
      <c r="B54" s="4" t="s">
        <v>30</v>
      </c>
      <c r="C54" s="21" t="s">
        <v>56</v>
      </c>
      <c r="D54" s="5" t="s">
        <v>108</v>
      </c>
      <c r="E54" s="27" t="s">
        <v>15</v>
      </c>
    </row>
    <row r="55" spans="2:5" ht="24" thickBot="1" x14ac:dyDescent="0.6">
      <c r="B55" s="4" t="s">
        <v>30</v>
      </c>
      <c r="C55" s="21" t="s">
        <v>57</v>
      </c>
      <c r="D55" s="5" t="s">
        <v>109</v>
      </c>
      <c r="E55" s="27" t="s">
        <v>15</v>
      </c>
    </row>
    <row r="56" spans="2:5" ht="24" thickBot="1" x14ac:dyDescent="0.6">
      <c r="B56" s="4" t="s">
        <v>30</v>
      </c>
      <c r="C56" s="21" t="s">
        <v>58</v>
      </c>
      <c r="D56" s="5" t="s">
        <v>110</v>
      </c>
      <c r="E56" s="27" t="s">
        <v>16</v>
      </c>
    </row>
    <row r="57" spans="2:5" ht="24" thickBot="1" x14ac:dyDescent="0.6">
      <c r="B57" s="4" t="s">
        <v>30</v>
      </c>
      <c r="C57" s="21" t="s">
        <v>59</v>
      </c>
      <c r="D57" s="21" t="s">
        <v>111</v>
      </c>
      <c r="E57" s="27" t="s">
        <v>15</v>
      </c>
    </row>
    <row r="58" spans="2:5" ht="24" thickBot="1" x14ac:dyDescent="0.6">
      <c r="B58" s="4" t="s">
        <v>34</v>
      </c>
      <c r="C58" s="21" t="s">
        <v>56</v>
      </c>
      <c r="D58" s="5" t="s">
        <v>108</v>
      </c>
      <c r="E58" s="27" t="s">
        <v>15</v>
      </c>
    </row>
    <row r="59" spans="2:5" ht="24" thickBot="1" x14ac:dyDescent="0.6">
      <c r="B59" s="4" t="s">
        <v>34</v>
      </c>
      <c r="C59" s="21" t="s">
        <v>57</v>
      </c>
      <c r="D59" s="5" t="s">
        <v>109</v>
      </c>
      <c r="E59" s="27" t="s">
        <v>15</v>
      </c>
    </row>
    <row r="60" spans="2:5" ht="24" thickBot="1" x14ac:dyDescent="0.6">
      <c r="B60" s="4" t="s">
        <v>34</v>
      </c>
      <c r="C60" s="21" t="s">
        <v>58</v>
      </c>
      <c r="D60" s="5" t="s">
        <v>110</v>
      </c>
      <c r="E60" s="27" t="s">
        <v>16</v>
      </c>
    </row>
    <row r="61" spans="2:5" ht="24" thickBot="1" x14ac:dyDescent="0.6">
      <c r="B61" s="4" t="s">
        <v>34</v>
      </c>
      <c r="C61" s="21" t="s">
        <v>59</v>
      </c>
      <c r="D61" s="21" t="s">
        <v>111</v>
      </c>
      <c r="E61" s="27" t="s">
        <v>16</v>
      </c>
    </row>
    <row r="62" spans="2:5" ht="24" thickBot="1" x14ac:dyDescent="0.6">
      <c r="B62" s="4" t="s">
        <v>36</v>
      </c>
      <c r="C62" s="21" t="s">
        <v>56</v>
      </c>
      <c r="D62" s="5" t="s">
        <v>108</v>
      </c>
      <c r="E62" s="27" t="s">
        <v>15</v>
      </c>
    </row>
    <row r="63" spans="2:5" ht="24" thickBot="1" x14ac:dyDescent="0.6">
      <c r="B63" s="4" t="s">
        <v>36</v>
      </c>
      <c r="C63" s="21" t="s">
        <v>57</v>
      </c>
      <c r="D63" s="5" t="s">
        <v>109</v>
      </c>
      <c r="E63" s="27" t="s">
        <v>15</v>
      </c>
    </row>
    <row r="64" spans="2:5" ht="24" thickBot="1" x14ac:dyDescent="0.6">
      <c r="B64" s="4" t="s">
        <v>36</v>
      </c>
      <c r="C64" s="21" t="s">
        <v>58</v>
      </c>
      <c r="D64" s="5" t="s">
        <v>110</v>
      </c>
      <c r="E64" s="27" t="s">
        <v>15</v>
      </c>
    </row>
    <row r="65" spans="2:5" ht="24" thickBot="1" x14ac:dyDescent="0.6">
      <c r="B65" s="4" t="s">
        <v>36</v>
      </c>
      <c r="C65" s="21" t="s">
        <v>59</v>
      </c>
      <c r="D65" s="21" t="s">
        <v>111</v>
      </c>
      <c r="E65" s="27" t="s">
        <v>15</v>
      </c>
    </row>
    <row r="66" spans="2:5" ht="24" thickBot="1" x14ac:dyDescent="0.6">
      <c r="B66" s="4" t="s">
        <v>37</v>
      </c>
      <c r="C66" s="21" t="s">
        <v>56</v>
      </c>
      <c r="D66" s="5" t="s">
        <v>108</v>
      </c>
      <c r="E66" s="27" t="s">
        <v>15</v>
      </c>
    </row>
    <row r="67" spans="2:5" ht="24" thickBot="1" x14ac:dyDescent="0.6">
      <c r="B67" s="4" t="s">
        <v>37</v>
      </c>
      <c r="C67" s="21" t="s">
        <v>57</v>
      </c>
      <c r="D67" s="5" t="s">
        <v>109</v>
      </c>
      <c r="E67" s="27" t="s">
        <v>15</v>
      </c>
    </row>
    <row r="68" spans="2:5" ht="24" thickBot="1" x14ac:dyDescent="0.6">
      <c r="B68" s="4" t="s">
        <v>37</v>
      </c>
      <c r="C68" s="21" t="s">
        <v>58</v>
      </c>
      <c r="D68" s="5" t="s">
        <v>110</v>
      </c>
      <c r="E68" s="27" t="s">
        <v>16</v>
      </c>
    </row>
    <row r="69" spans="2:5" ht="24" thickBot="1" x14ac:dyDescent="0.6">
      <c r="B69" s="4" t="s">
        <v>37</v>
      </c>
      <c r="C69" s="21" t="s">
        <v>59</v>
      </c>
      <c r="D69" s="21" t="s">
        <v>111</v>
      </c>
      <c r="E69" s="27" t="s">
        <v>16</v>
      </c>
    </row>
    <row r="70" spans="2:5" ht="24" thickBot="1" x14ac:dyDescent="0.6">
      <c r="B70" s="4" t="s">
        <v>38</v>
      </c>
      <c r="C70" s="21" t="s">
        <v>56</v>
      </c>
      <c r="D70" s="5" t="s">
        <v>108</v>
      </c>
      <c r="E70" s="27" t="s">
        <v>15</v>
      </c>
    </row>
    <row r="71" spans="2:5" ht="24" thickBot="1" x14ac:dyDescent="0.6">
      <c r="B71" s="4" t="s">
        <v>38</v>
      </c>
      <c r="C71" s="21" t="s">
        <v>57</v>
      </c>
      <c r="D71" s="5" t="s">
        <v>109</v>
      </c>
      <c r="E71" s="27" t="s">
        <v>16</v>
      </c>
    </row>
    <row r="72" spans="2:5" ht="24" thickBot="1" x14ac:dyDescent="0.6">
      <c r="B72" s="4" t="s">
        <v>38</v>
      </c>
      <c r="C72" s="21" t="s">
        <v>58</v>
      </c>
      <c r="D72" s="5" t="s">
        <v>110</v>
      </c>
      <c r="E72" s="27" t="s">
        <v>16</v>
      </c>
    </row>
    <row r="73" spans="2:5" ht="24" thickBot="1" x14ac:dyDescent="0.6">
      <c r="B73" s="4" t="s">
        <v>38</v>
      </c>
      <c r="C73" s="21" t="s">
        <v>59</v>
      </c>
      <c r="D73" s="21" t="s">
        <v>111</v>
      </c>
      <c r="E73" s="27" t="s">
        <v>16</v>
      </c>
    </row>
    <row r="74" spans="2:5" ht="24" thickBot="1" x14ac:dyDescent="0.6">
      <c r="B74" s="4" t="s">
        <v>39</v>
      </c>
      <c r="C74" s="21" t="s">
        <v>56</v>
      </c>
      <c r="D74" s="5" t="s">
        <v>108</v>
      </c>
      <c r="E74" s="27" t="s">
        <v>15</v>
      </c>
    </row>
    <row r="75" spans="2:5" ht="24" thickBot="1" x14ac:dyDescent="0.6">
      <c r="B75" s="4" t="s">
        <v>39</v>
      </c>
      <c r="C75" s="21" t="s">
        <v>57</v>
      </c>
      <c r="D75" s="5" t="s">
        <v>109</v>
      </c>
      <c r="E75" s="27" t="s">
        <v>15</v>
      </c>
    </row>
    <row r="76" spans="2:5" ht="24" thickBot="1" x14ac:dyDescent="0.6">
      <c r="B76" s="4" t="s">
        <v>39</v>
      </c>
      <c r="C76" s="21" t="s">
        <v>58</v>
      </c>
      <c r="D76" s="5" t="s">
        <v>110</v>
      </c>
      <c r="E76" s="27" t="s">
        <v>16</v>
      </c>
    </row>
    <row r="77" spans="2:5" ht="24" thickBot="1" x14ac:dyDescent="0.6">
      <c r="B77" s="4" t="s">
        <v>39</v>
      </c>
      <c r="C77" s="21" t="s">
        <v>59</v>
      </c>
      <c r="D77" s="21" t="s">
        <v>111</v>
      </c>
      <c r="E77" s="27" t="s">
        <v>15</v>
      </c>
    </row>
    <row r="78" spans="2:5" ht="24" thickBot="1" x14ac:dyDescent="0.6">
      <c r="B78" s="4" t="s">
        <v>40</v>
      </c>
      <c r="C78" s="21" t="s">
        <v>56</v>
      </c>
      <c r="D78" s="5" t="s">
        <v>108</v>
      </c>
      <c r="E78" s="27" t="s">
        <v>15</v>
      </c>
    </row>
    <row r="79" spans="2:5" ht="24" thickBot="1" x14ac:dyDescent="0.6">
      <c r="B79" s="4" t="s">
        <v>40</v>
      </c>
      <c r="C79" s="21" t="s">
        <v>57</v>
      </c>
      <c r="D79" s="5" t="s">
        <v>109</v>
      </c>
      <c r="E79" s="27" t="s">
        <v>15</v>
      </c>
    </row>
    <row r="80" spans="2:5" ht="24" thickBot="1" x14ac:dyDescent="0.6">
      <c r="B80" s="4" t="s">
        <v>40</v>
      </c>
      <c r="C80" s="21" t="s">
        <v>58</v>
      </c>
      <c r="D80" s="5" t="s">
        <v>110</v>
      </c>
      <c r="E80" s="27" t="s">
        <v>15</v>
      </c>
    </row>
    <row r="81" spans="2:5" ht="24" thickBot="1" x14ac:dyDescent="0.6">
      <c r="B81" s="4" t="s">
        <v>40</v>
      </c>
      <c r="C81" s="21" t="s">
        <v>59</v>
      </c>
      <c r="D81" s="21" t="s">
        <v>111</v>
      </c>
      <c r="E81" s="27" t="s">
        <v>15</v>
      </c>
    </row>
    <row r="82" spans="2:5" ht="24" thickBot="1" x14ac:dyDescent="0.6">
      <c r="B82" s="4" t="s">
        <v>41</v>
      </c>
      <c r="C82" s="21" t="s">
        <v>56</v>
      </c>
      <c r="D82" s="5" t="s">
        <v>108</v>
      </c>
      <c r="E82" s="27" t="s">
        <v>15</v>
      </c>
    </row>
    <row r="83" spans="2:5" ht="24" thickBot="1" x14ac:dyDescent="0.6">
      <c r="B83" s="4" t="s">
        <v>41</v>
      </c>
      <c r="C83" s="21" t="s">
        <v>57</v>
      </c>
      <c r="D83" s="5" t="s">
        <v>109</v>
      </c>
      <c r="E83" s="27" t="s">
        <v>15</v>
      </c>
    </row>
    <row r="84" spans="2:5" ht="24" thickBot="1" x14ac:dyDescent="0.6">
      <c r="B84" s="4" t="s">
        <v>41</v>
      </c>
      <c r="C84" s="21" t="s">
        <v>58</v>
      </c>
      <c r="D84" s="5" t="s">
        <v>110</v>
      </c>
      <c r="E84" s="27" t="s">
        <v>15</v>
      </c>
    </row>
    <row r="85" spans="2:5" ht="24" thickBot="1" x14ac:dyDescent="0.6">
      <c r="B85" s="4" t="s">
        <v>41</v>
      </c>
      <c r="C85" s="21" t="s">
        <v>59</v>
      </c>
      <c r="D85" s="21" t="s">
        <v>111</v>
      </c>
      <c r="E85" s="27" t="s">
        <v>15</v>
      </c>
    </row>
    <row r="86" spans="2:5" ht="24" thickBot="1" x14ac:dyDescent="0.6">
      <c r="B86" s="4" t="s">
        <v>43</v>
      </c>
      <c r="C86" s="21" t="s">
        <v>56</v>
      </c>
      <c r="D86" s="5" t="s">
        <v>108</v>
      </c>
      <c r="E86" s="27" t="s">
        <v>15</v>
      </c>
    </row>
    <row r="87" spans="2:5" ht="24" thickBot="1" x14ac:dyDescent="0.6">
      <c r="B87" s="4" t="s">
        <v>43</v>
      </c>
      <c r="C87" s="21" t="s">
        <v>57</v>
      </c>
      <c r="D87" s="5" t="s">
        <v>109</v>
      </c>
      <c r="E87" s="27" t="s">
        <v>15</v>
      </c>
    </row>
    <row r="88" spans="2:5" ht="24" thickBot="1" x14ac:dyDescent="0.6">
      <c r="B88" s="4" t="s">
        <v>43</v>
      </c>
      <c r="C88" s="21" t="s">
        <v>58</v>
      </c>
      <c r="D88" s="5" t="s">
        <v>110</v>
      </c>
      <c r="E88" s="27" t="s">
        <v>15</v>
      </c>
    </row>
    <row r="89" spans="2:5" ht="24" thickBot="1" x14ac:dyDescent="0.6">
      <c r="B89" s="4" t="s">
        <v>43</v>
      </c>
      <c r="C89" s="21" t="s">
        <v>59</v>
      </c>
      <c r="D89" s="21" t="s">
        <v>111</v>
      </c>
      <c r="E89" s="27" t="s">
        <v>16</v>
      </c>
    </row>
    <row r="90" spans="2:5" ht="24" thickBot="1" x14ac:dyDescent="0.6">
      <c r="B90" s="4" t="s">
        <v>44</v>
      </c>
      <c r="C90" s="21" t="s">
        <v>56</v>
      </c>
      <c r="D90" s="5" t="s">
        <v>108</v>
      </c>
      <c r="E90" s="27" t="s">
        <v>15</v>
      </c>
    </row>
    <row r="91" spans="2:5" ht="24" thickBot="1" x14ac:dyDescent="0.6">
      <c r="B91" s="4" t="s">
        <v>44</v>
      </c>
      <c r="C91" s="21" t="s">
        <v>57</v>
      </c>
      <c r="D91" s="5" t="s">
        <v>109</v>
      </c>
      <c r="E91" s="27" t="s">
        <v>16</v>
      </c>
    </row>
    <row r="92" spans="2:5" ht="24" thickBot="1" x14ac:dyDescent="0.6">
      <c r="B92" s="4" t="s">
        <v>44</v>
      </c>
      <c r="C92" s="21" t="s">
        <v>58</v>
      </c>
      <c r="D92" s="5" t="s">
        <v>110</v>
      </c>
      <c r="E92" s="27" t="s">
        <v>15</v>
      </c>
    </row>
    <row r="93" spans="2:5" ht="24" thickBot="1" x14ac:dyDescent="0.6">
      <c r="B93" s="4" t="s">
        <v>44</v>
      </c>
      <c r="C93" s="21" t="s">
        <v>59</v>
      </c>
      <c r="D93" s="21" t="s">
        <v>111</v>
      </c>
      <c r="E93" s="27" t="s">
        <v>15</v>
      </c>
    </row>
    <row r="94" spans="2:5" ht="24" thickBot="1" x14ac:dyDescent="0.6">
      <c r="B94" s="4" t="s">
        <v>45</v>
      </c>
      <c r="C94" s="21" t="s">
        <v>56</v>
      </c>
      <c r="D94" s="5" t="s">
        <v>108</v>
      </c>
      <c r="E94" s="27" t="s">
        <v>15</v>
      </c>
    </row>
    <row r="95" spans="2:5" ht="24" thickBot="1" x14ac:dyDescent="0.6">
      <c r="B95" s="4" t="s">
        <v>45</v>
      </c>
      <c r="C95" s="21" t="s">
        <v>57</v>
      </c>
      <c r="D95" s="5" t="s">
        <v>109</v>
      </c>
      <c r="E95" s="27" t="s">
        <v>15</v>
      </c>
    </row>
    <row r="96" spans="2:5" ht="24" thickBot="1" x14ac:dyDescent="0.6">
      <c r="B96" s="4" t="s">
        <v>45</v>
      </c>
      <c r="C96" s="21" t="s">
        <v>58</v>
      </c>
      <c r="D96" s="5" t="s">
        <v>110</v>
      </c>
      <c r="E96" s="27" t="s">
        <v>15</v>
      </c>
    </row>
    <row r="97" spans="2:5" ht="24" thickBot="1" x14ac:dyDescent="0.6">
      <c r="B97" s="4" t="s">
        <v>45</v>
      </c>
      <c r="C97" s="21" t="s">
        <v>59</v>
      </c>
      <c r="D97" s="21" t="s">
        <v>111</v>
      </c>
      <c r="E97" s="27" t="s">
        <v>15</v>
      </c>
    </row>
    <row r="98" spans="2:5" ht="24" thickBot="1" x14ac:dyDescent="0.6">
      <c r="B98" s="4" t="s">
        <v>47</v>
      </c>
      <c r="C98" s="21" t="s">
        <v>56</v>
      </c>
      <c r="D98" s="5" t="s">
        <v>108</v>
      </c>
      <c r="E98" s="27" t="s">
        <v>15</v>
      </c>
    </row>
    <row r="99" spans="2:5" ht="24" thickBot="1" x14ac:dyDescent="0.6">
      <c r="B99" s="4" t="s">
        <v>47</v>
      </c>
      <c r="C99" s="21" t="s">
        <v>57</v>
      </c>
      <c r="D99" s="5" t="s">
        <v>109</v>
      </c>
      <c r="E99" s="27" t="s">
        <v>15</v>
      </c>
    </row>
    <row r="100" spans="2:5" ht="24" thickBot="1" x14ac:dyDescent="0.6">
      <c r="B100" s="4" t="s">
        <v>47</v>
      </c>
      <c r="C100" s="21" t="s">
        <v>58</v>
      </c>
      <c r="D100" s="5" t="s">
        <v>110</v>
      </c>
      <c r="E100" s="27" t="s">
        <v>16</v>
      </c>
    </row>
    <row r="101" spans="2:5" ht="24" thickBot="1" x14ac:dyDescent="0.6">
      <c r="B101" s="4" t="s">
        <v>47</v>
      </c>
      <c r="C101" s="21" t="s">
        <v>59</v>
      </c>
      <c r="D101" s="21" t="s">
        <v>111</v>
      </c>
      <c r="E101" s="27" t="s">
        <v>16</v>
      </c>
    </row>
    <row r="102" spans="2:5" ht="24" thickBot="1" x14ac:dyDescent="0.6">
      <c r="B102" s="4" t="s">
        <v>49</v>
      </c>
      <c r="C102" s="21" t="s">
        <v>56</v>
      </c>
      <c r="D102" s="5" t="s">
        <v>108</v>
      </c>
      <c r="E102" s="27" t="s">
        <v>15</v>
      </c>
    </row>
    <row r="103" spans="2:5" ht="24" thickBot="1" x14ac:dyDescent="0.6">
      <c r="B103" s="4" t="s">
        <v>49</v>
      </c>
      <c r="C103" s="21" t="s">
        <v>57</v>
      </c>
      <c r="D103" s="5" t="s">
        <v>109</v>
      </c>
      <c r="E103" s="27" t="s">
        <v>15</v>
      </c>
    </row>
    <row r="104" spans="2:5" ht="24" thickBot="1" x14ac:dyDescent="0.6">
      <c r="B104" s="4" t="s">
        <v>49</v>
      </c>
      <c r="C104" s="21" t="s">
        <v>58</v>
      </c>
      <c r="D104" s="5" t="s">
        <v>110</v>
      </c>
      <c r="E104" s="27" t="s">
        <v>16</v>
      </c>
    </row>
    <row r="105" spans="2:5" ht="24" thickBot="1" x14ac:dyDescent="0.6">
      <c r="B105" s="4" t="s">
        <v>49</v>
      </c>
      <c r="C105" s="21" t="s">
        <v>59</v>
      </c>
      <c r="D105" s="21" t="s">
        <v>111</v>
      </c>
      <c r="E105" s="27" t="s">
        <v>15</v>
      </c>
    </row>
    <row r="106" spans="2:5" ht="24" thickBot="1" x14ac:dyDescent="0.6">
      <c r="B106" s="4" t="s">
        <v>50</v>
      </c>
      <c r="C106" s="21" t="s">
        <v>56</v>
      </c>
      <c r="D106" s="5" t="s">
        <v>108</v>
      </c>
      <c r="E106" s="27" t="s">
        <v>15</v>
      </c>
    </row>
    <row r="107" spans="2:5" ht="24" thickBot="1" x14ac:dyDescent="0.6">
      <c r="B107" s="4" t="s">
        <v>50</v>
      </c>
      <c r="C107" s="21" t="s">
        <v>57</v>
      </c>
      <c r="D107" s="5" t="s">
        <v>109</v>
      </c>
      <c r="E107" s="27" t="s">
        <v>15</v>
      </c>
    </row>
    <row r="108" spans="2:5" ht="24" thickBot="1" x14ac:dyDescent="0.6">
      <c r="B108" s="4" t="s">
        <v>50</v>
      </c>
      <c r="C108" s="21" t="s">
        <v>58</v>
      </c>
      <c r="D108" s="5" t="s">
        <v>110</v>
      </c>
      <c r="E108" s="27" t="s">
        <v>16</v>
      </c>
    </row>
    <row r="109" spans="2:5" ht="24" thickBot="1" x14ac:dyDescent="0.6">
      <c r="B109" s="4" t="s">
        <v>50</v>
      </c>
      <c r="C109" s="21" t="s">
        <v>59</v>
      </c>
      <c r="D109" s="21" t="s">
        <v>111</v>
      </c>
      <c r="E109" s="27" t="s">
        <v>16</v>
      </c>
    </row>
    <row r="110" spans="2:5" ht="24" thickBot="1" x14ac:dyDescent="0.6">
      <c r="B110" s="4" t="s">
        <v>51</v>
      </c>
      <c r="C110" s="21" t="s">
        <v>56</v>
      </c>
      <c r="D110" s="5" t="s">
        <v>108</v>
      </c>
      <c r="E110" s="27" t="s">
        <v>15</v>
      </c>
    </row>
    <row r="111" spans="2:5" ht="24" thickBot="1" x14ac:dyDescent="0.6">
      <c r="B111" s="4" t="s">
        <v>51</v>
      </c>
      <c r="C111" s="21" t="s">
        <v>57</v>
      </c>
      <c r="D111" s="5" t="s">
        <v>109</v>
      </c>
      <c r="E111" s="27" t="s">
        <v>15</v>
      </c>
    </row>
    <row r="112" spans="2:5" ht="24" thickBot="1" x14ac:dyDescent="0.6">
      <c r="B112" s="4" t="s">
        <v>51</v>
      </c>
      <c r="C112" s="21" t="s">
        <v>58</v>
      </c>
      <c r="D112" s="5" t="s">
        <v>110</v>
      </c>
      <c r="E112" s="27" t="s">
        <v>16</v>
      </c>
    </row>
    <row r="113" spans="2:5" ht="24" thickBot="1" x14ac:dyDescent="0.6">
      <c r="B113" s="4" t="s">
        <v>51</v>
      </c>
      <c r="C113" s="21" t="s">
        <v>59</v>
      </c>
      <c r="D113" s="21" t="s">
        <v>111</v>
      </c>
      <c r="E113" s="27" t="s">
        <v>15</v>
      </c>
    </row>
    <row r="114" spans="2:5" ht="24" thickBot="1" x14ac:dyDescent="0.6">
      <c r="B114" s="4" t="s">
        <v>52</v>
      </c>
      <c r="C114" s="21" t="s">
        <v>56</v>
      </c>
      <c r="D114" s="5" t="s">
        <v>108</v>
      </c>
      <c r="E114" s="27" t="s">
        <v>15</v>
      </c>
    </row>
    <row r="115" spans="2:5" ht="24" thickBot="1" x14ac:dyDescent="0.6">
      <c r="B115" s="4" t="s">
        <v>52</v>
      </c>
      <c r="C115" s="21" t="s">
        <v>57</v>
      </c>
      <c r="D115" s="5" t="s">
        <v>109</v>
      </c>
      <c r="E115" s="27" t="s">
        <v>15</v>
      </c>
    </row>
    <row r="116" spans="2:5" ht="24" thickBot="1" x14ac:dyDescent="0.6">
      <c r="B116" s="4" t="s">
        <v>52</v>
      </c>
      <c r="C116" s="21" t="s">
        <v>58</v>
      </c>
      <c r="D116" s="5" t="s">
        <v>110</v>
      </c>
      <c r="E116" s="27" t="s">
        <v>16</v>
      </c>
    </row>
    <row r="117" spans="2:5" ht="24" thickBot="1" x14ac:dyDescent="0.6">
      <c r="B117" s="4" t="s">
        <v>52</v>
      </c>
      <c r="C117" s="21" t="s">
        <v>59</v>
      </c>
      <c r="D117" s="21" t="s">
        <v>111</v>
      </c>
      <c r="E117" s="27" t="s">
        <v>15</v>
      </c>
    </row>
  </sheetData>
  <autoFilter ref="B3:E117" xr:uid="{FD772461-A853-DB41-BC4C-ADFF1209A08A}"/>
  <dataValidations count="4">
    <dataValidation type="list" allowBlank="1" showInputMessage="1" showErrorMessage="1" promptTitle="Select from the list" prompt="Select from the list" sqref="E8:E11" xr:uid="{5C3B1BC2-DDD9-0A4A-BB40-02804C1A2A59}">
      <formula1>"OUI, NON"</formula1>
    </dataValidation>
    <dataValidation type="list" allowBlank="1" showInputMessage="1" showErrorMessage="1" promptTitle="Select from the list" prompt="Select from the list" sqref="E12 E116:E117 E14:E16 E18:E20 E30:E32 E34:E36 E38:E40 E42:E44 E48:E50 E52:E54 E64:E66 E68:E70 E76:E78 E88:E90 E104:E106 E112:E114 E6:E7 E108:E110 E100:E102 E96:E98 E92:E94 E84:E86 E80:E82 E72:E74 E60:E62 E56:E58 E46 E26:E28 E22:E24 E4" xr:uid="{8FE555A9-30C6-BA4B-BBD8-F1572865C85D}">
      <formula1>"YES, NO"</formula1>
    </dataValidation>
    <dataValidation type="list" allowBlank="1" showInputMessage="1" showErrorMessage="1" promptTitle="Select from the list" prompt="Select from the list" sqref="E5 E115 E13 E17 E21 E25 E29 E33 E37 E41 E45 E47 E51 E55 E59 E63 E67 E71 E75 E79 E83 E87 E91 E95 E99 E103 E107 E111" xr:uid="{60640C09-BE4F-7047-977F-68BB48C02B99}">
      <formula1>"YES, NO, PARTLY"</formula1>
    </dataValidation>
    <dataValidation type="list" allowBlank="1" showInputMessage="1" showErrorMessage="1" sqref="B4:B117" xr:uid="{BED59796-75A7-1A4B-A49D-01B5ADE95133}">
      <formula1>Country</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A62630-5714-CF47-9CCC-90A0E871CC36}">
  <dimension ref="A1:L117"/>
  <sheetViews>
    <sheetView topLeftCell="C1" workbookViewId="0">
      <selection activeCell="G25" sqref="G25"/>
    </sheetView>
  </sheetViews>
  <sheetFormatPr defaultColWidth="10.83203125" defaultRowHeight="15.5" x14ac:dyDescent="0.35"/>
  <cols>
    <col min="1" max="1" width="10.83203125" style="7"/>
    <col min="2" max="2" width="20.83203125" style="7" bestFit="1" customWidth="1"/>
    <col min="3" max="3" width="198.5" style="8" bestFit="1" customWidth="1"/>
    <col min="4" max="4" width="14.83203125" style="7" bestFit="1" customWidth="1"/>
    <col min="5" max="5" width="10.83203125" style="7"/>
    <col min="6" max="6" width="24.33203125" style="7" customWidth="1"/>
    <col min="7" max="7" width="73.5" style="67" customWidth="1"/>
    <col min="8" max="16384" width="10.83203125" style="7"/>
  </cols>
  <sheetData>
    <row r="1" spans="1:12" ht="16" thickBot="1" x14ac:dyDescent="0.4">
      <c r="A1" s="9" t="s">
        <v>53</v>
      </c>
      <c r="B1" s="10" t="s">
        <v>54</v>
      </c>
      <c r="C1" s="13" t="s">
        <v>104</v>
      </c>
      <c r="D1" s="11" t="s">
        <v>55</v>
      </c>
    </row>
    <row r="2" spans="1:12" ht="30.5" thickBot="1" x14ac:dyDescent="0.4">
      <c r="A2" s="9" t="s">
        <v>14</v>
      </c>
      <c r="B2" s="14" t="s">
        <v>56</v>
      </c>
      <c r="C2" s="15" t="s">
        <v>60</v>
      </c>
      <c r="D2" s="12" t="s">
        <v>16</v>
      </c>
      <c r="F2" s="70" t="s">
        <v>121</v>
      </c>
      <c r="G2" s="70" t="s">
        <v>104</v>
      </c>
      <c r="H2" s="55" t="s">
        <v>98</v>
      </c>
      <c r="I2" s="55" t="s">
        <v>102</v>
      </c>
      <c r="J2" s="55" t="s">
        <v>113</v>
      </c>
      <c r="K2" s="55" t="s">
        <v>114</v>
      </c>
      <c r="L2" s="55" t="s">
        <v>112</v>
      </c>
    </row>
    <row r="3" spans="1:12" ht="31.5" thickBot="1" x14ac:dyDescent="0.4">
      <c r="A3" s="9" t="s">
        <v>14</v>
      </c>
      <c r="B3" s="14" t="s">
        <v>57</v>
      </c>
      <c r="C3" s="15" t="s">
        <v>61</v>
      </c>
      <c r="D3" s="12" t="s">
        <v>15</v>
      </c>
      <c r="F3" s="35" t="s">
        <v>56</v>
      </c>
      <c r="G3" s="36" t="s">
        <v>60</v>
      </c>
      <c r="H3" s="65">
        <f>COUNTIFS($C:$C,$G3,$D:$D,H$2)</f>
        <v>22</v>
      </c>
      <c r="I3" s="65">
        <f>COUNTIFS($C:$C,$G3,$D:$D,I$2)</f>
        <v>7</v>
      </c>
      <c r="J3" s="66">
        <f>H3/L3</f>
        <v>0.75862068965517238</v>
      </c>
      <c r="K3" s="66">
        <f>I3/L3</f>
        <v>0.2413793103448276</v>
      </c>
      <c r="L3" s="65">
        <f>H3+I3</f>
        <v>29</v>
      </c>
    </row>
    <row r="4" spans="1:12" ht="16" thickBot="1" x14ac:dyDescent="0.4">
      <c r="A4" s="9" t="s">
        <v>14</v>
      </c>
      <c r="B4" s="14" t="s">
        <v>58</v>
      </c>
      <c r="C4" s="15" t="s">
        <v>62</v>
      </c>
      <c r="D4" s="12" t="s">
        <v>15</v>
      </c>
      <c r="F4" s="35" t="s">
        <v>57</v>
      </c>
      <c r="G4" s="36" t="s">
        <v>61</v>
      </c>
      <c r="H4" s="65">
        <f t="shared" ref="H4:I6" si="0">COUNTIFS($C:$C,$G4,$D:$D,H$2)</f>
        <v>24</v>
      </c>
      <c r="I4" s="65">
        <f t="shared" si="0"/>
        <v>5</v>
      </c>
      <c r="J4" s="66">
        <f t="shared" ref="J4:J6" si="1">H4/L4</f>
        <v>0.82758620689655171</v>
      </c>
      <c r="K4" s="66">
        <f t="shared" ref="K4:K6" si="2">I4/L4</f>
        <v>0.17241379310344829</v>
      </c>
      <c r="L4" s="65">
        <f t="shared" ref="L4:L6" si="3">H4+I4</f>
        <v>29</v>
      </c>
    </row>
    <row r="5" spans="1:12" ht="31.5" thickBot="1" x14ac:dyDescent="0.4">
      <c r="A5" s="9" t="s">
        <v>14</v>
      </c>
      <c r="B5" s="14" t="s">
        <v>59</v>
      </c>
      <c r="C5" s="16" t="s">
        <v>63</v>
      </c>
      <c r="D5" s="12" t="s">
        <v>15</v>
      </c>
      <c r="F5" s="35" t="s">
        <v>58</v>
      </c>
      <c r="G5" s="36" t="s">
        <v>62</v>
      </c>
      <c r="H5" s="65">
        <f t="shared" si="0"/>
        <v>22</v>
      </c>
      <c r="I5" s="65">
        <f t="shared" si="0"/>
        <v>7</v>
      </c>
      <c r="J5" s="66">
        <f t="shared" si="1"/>
        <v>0.75862068965517238</v>
      </c>
      <c r="K5" s="66">
        <f t="shared" si="2"/>
        <v>0.2413793103448276</v>
      </c>
      <c r="L5" s="65">
        <f t="shared" si="3"/>
        <v>29</v>
      </c>
    </row>
    <row r="6" spans="1:12" ht="31.5" thickBot="1" x14ac:dyDescent="0.4">
      <c r="A6" s="9" t="s">
        <v>17</v>
      </c>
      <c r="B6" s="14" t="s">
        <v>56</v>
      </c>
      <c r="C6" s="15" t="s">
        <v>60</v>
      </c>
      <c r="D6" s="12" t="s">
        <v>15</v>
      </c>
      <c r="F6" s="37" t="s">
        <v>59</v>
      </c>
      <c r="G6" s="38" t="s">
        <v>63</v>
      </c>
      <c r="H6" s="68">
        <f t="shared" si="0"/>
        <v>18</v>
      </c>
      <c r="I6" s="68">
        <f t="shared" si="0"/>
        <v>11</v>
      </c>
      <c r="J6" s="69">
        <f t="shared" si="1"/>
        <v>0.62068965517241381</v>
      </c>
      <c r="K6" s="69">
        <f t="shared" si="2"/>
        <v>0.37931034482758619</v>
      </c>
      <c r="L6" s="68">
        <f t="shared" si="3"/>
        <v>29</v>
      </c>
    </row>
    <row r="7" spans="1:12" ht="16" thickBot="1" x14ac:dyDescent="0.4">
      <c r="A7" s="9" t="s">
        <v>17</v>
      </c>
      <c r="B7" s="14" t="s">
        <v>57</v>
      </c>
      <c r="C7" s="15" t="s">
        <v>61</v>
      </c>
      <c r="D7" s="12" t="s">
        <v>15</v>
      </c>
    </row>
    <row r="8" spans="1:12" ht="16" thickBot="1" x14ac:dyDescent="0.4">
      <c r="A8" s="9" t="s">
        <v>17</v>
      </c>
      <c r="B8" s="14" t="s">
        <v>58</v>
      </c>
      <c r="C8" s="15" t="s">
        <v>62</v>
      </c>
      <c r="D8" s="12" t="s">
        <v>15</v>
      </c>
    </row>
    <row r="9" spans="1:12" ht="16" thickBot="1" x14ac:dyDescent="0.4">
      <c r="A9" s="9" t="s">
        <v>17</v>
      </c>
      <c r="B9" s="14" t="s">
        <v>59</v>
      </c>
      <c r="C9" s="16" t="s">
        <v>63</v>
      </c>
      <c r="D9" s="12" t="s">
        <v>15</v>
      </c>
    </row>
    <row r="10" spans="1:12" ht="16" thickBot="1" x14ac:dyDescent="0.4">
      <c r="A10" s="9" t="s">
        <v>18</v>
      </c>
      <c r="B10" s="14" t="s">
        <v>56</v>
      </c>
      <c r="C10" s="15" t="s">
        <v>60</v>
      </c>
      <c r="D10" s="12" t="s">
        <v>15</v>
      </c>
    </row>
    <row r="11" spans="1:12" ht="16" thickBot="1" x14ac:dyDescent="0.4">
      <c r="A11" s="9" t="s">
        <v>18</v>
      </c>
      <c r="B11" s="14" t="s">
        <v>57</v>
      </c>
      <c r="C11" s="15" t="s">
        <v>61</v>
      </c>
      <c r="D11" s="12" t="s">
        <v>15</v>
      </c>
    </row>
    <row r="12" spans="1:12" ht="16" thickBot="1" x14ac:dyDescent="0.4">
      <c r="A12" s="9" t="s">
        <v>18</v>
      </c>
      <c r="B12" s="14" t="s">
        <v>58</v>
      </c>
      <c r="C12" s="15" t="s">
        <v>62</v>
      </c>
      <c r="D12" s="12" t="s">
        <v>15</v>
      </c>
    </row>
    <row r="13" spans="1:12" ht="16" thickBot="1" x14ac:dyDescent="0.4">
      <c r="A13" s="9" t="s">
        <v>18</v>
      </c>
      <c r="B13" s="14" t="s">
        <v>59</v>
      </c>
      <c r="C13" s="16" t="s">
        <v>63</v>
      </c>
      <c r="D13" s="12" t="s">
        <v>15</v>
      </c>
    </row>
    <row r="14" spans="1:12" ht="16" thickBot="1" x14ac:dyDescent="0.4">
      <c r="A14" s="9" t="s">
        <v>19</v>
      </c>
      <c r="B14" s="14" t="s">
        <v>56</v>
      </c>
      <c r="C14" s="15" t="s">
        <v>60</v>
      </c>
      <c r="D14" s="12" t="s">
        <v>15</v>
      </c>
    </row>
    <row r="15" spans="1:12" ht="16" thickBot="1" x14ac:dyDescent="0.4">
      <c r="A15" s="9" t="s">
        <v>19</v>
      </c>
      <c r="B15" s="14" t="s">
        <v>57</v>
      </c>
      <c r="C15" s="15" t="s">
        <v>61</v>
      </c>
      <c r="D15" s="12" t="s">
        <v>15</v>
      </c>
    </row>
    <row r="16" spans="1:12" ht="16" thickBot="1" x14ac:dyDescent="0.4">
      <c r="A16" s="9" t="s">
        <v>19</v>
      </c>
      <c r="B16" s="14" t="s">
        <v>58</v>
      </c>
      <c r="C16" s="15" t="s">
        <v>62</v>
      </c>
      <c r="D16" s="12" t="s">
        <v>15</v>
      </c>
    </row>
    <row r="17" spans="1:4" ht="16" thickBot="1" x14ac:dyDescent="0.4">
      <c r="A17" s="9" t="s">
        <v>19</v>
      </c>
      <c r="B17" s="14" t="s">
        <v>59</v>
      </c>
      <c r="C17" s="16" t="s">
        <v>63</v>
      </c>
      <c r="D17" s="12" t="s">
        <v>15</v>
      </c>
    </row>
    <row r="18" spans="1:4" ht="16" thickBot="1" x14ac:dyDescent="0.4">
      <c r="A18" s="9" t="s">
        <v>21</v>
      </c>
      <c r="B18" s="14" t="s">
        <v>56</v>
      </c>
      <c r="C18" s="15" t="s">
        <v>60</v>
      </c>
      <c r="D18" s="12" t="s">
        <v>15</v>
      </c>
    </row>
    <row r="19" spans="1:4" ht="16" thickBot="1" x14ac:dyDescent="0.4">
      <c r="A19" s="9" t="s">
        <v>21</v>
      </c>
      <c r="B19" s="14" t="s">
        <v>57</v>
      </c>
      <c r="C19" s="15" t="s">
        <v>61</v>
      </c>
      <c r="D19" s="12" t="s">
        <v>15</v>
      </c>
    </row>
    <row r="20" spans="1:4" ht="16" thickBot="1" x14ac:dyDescent="0.4">
      <c r="A20" s="9" t="s">
        <v>21</v>
      </c>
      <c r="B20" s="14" t="s">
        <v>58</v>
      </c>
      <c r="C20" s="15" t="s">
        <v>62</v>
      </c>
      <c r="D20" s="12" t="s">
        <v>15</v>
      </c>
    </row>
    <row r="21" spans="1:4" ht="16" thickBot="1" x14ac:dyDescent="0.4">
      <c r="A21" s="9" t="s">
        <v>21</v>
      </c>
      <c r="B21" s="14" t="s">
        <v>59</v>
      </c>
      <c r="C21" s="16" t="s">
        <v>63</v>
      </c>
      <c r="D21" s="12" t="s">
        <v>15</v>
      </c>
    </row>
    <row r="22" spans="1:4" ht="16" thickBot="1" x14ac:dyDescent="0.4">
      <c r="A22" s="9" t="s">
        <v>22</v>
      </c>
      <c r="B22" s="14" t="s">
        <v>56</v>
      </c>
      <c r="C22" s="15" t="s">
        <v>60</v>
      </c>
      <c r="D22" s="12" t="s">
        <v>16</v>
      </c>
    </row>
    <row r="23" spans="1:4" ht="16" thickBot="1" x14ac:dyDescent="0.4">
      <c r="A23" s="9" t="s">
        <v>22</v>
      </c>
      <c r="B23" s="14" t="s">
        <v>57</v>
      </c>
      <c r="C23" s="15" t="s">
        <v>61</v>
      </c>
      <c r="D23" s="12" t="s">
        <v>16</v>
      </c>
    </row>
    <row r="24" spans="1:4" ht="16" thickBot="1" x14ac:dyDescent="0.4">
      <c r="A24" s="9" t="s">
        <v>22</v>
      </c>
      <c r="B24" s="14" t="s">
        <v>58</v>
      </c>
      <c r="C24" s="15" t="s">
        <v>62</v>
      </c>
      <c r="D24" s="12" t="s">
        <v>16</v>
      </c>
    </row>
    <row r="25" spans="1:4" ht="16" thickBot="1" x14ac:dyDescent="0.4">
      <c r="A25" s="9" t="s">
        <v>22</v>
      </c>
      <c r="B25" s="14" t="s">
        <v>59</v>
      </c>
      <c r="C25" s="16" t="s">
        <v>63</v>
      </c>
      <c r="D25" s="12" t="s">
        <v>16</v>
      </c>
    </row>
    <row r="26" spans="1:4" ht="16" thickBot="1" x14ac:dyDescent="0.4">
      <c r="A26" s="9" t="s">
        <v>23</v>
      </c>
      <c r="B26" s="14" t="s">
        <v>56</v>
      </c>
      <c r="C26" s="15" t="s">
        <v>60</v>
      </c>
      <c r="D26" s="12" t="s">
        <v>15</v>
      </c>
    </row>
    <row r="27" spans="1:4" ht="16" thickBot="1" x14ac:dyDescent="0.4">
      <c r="A27" s="9" t="s">
        <v>23</v>
      </c>
      <c r="B27" s="14" t="s">
        <v>57</v>
      </c>
      <c r="C27" s="15" t="s">
        <v>61</v>
      </c>
      <c r="D27" s="12" t="s">
        <v>15</v>
      </c>
    </row>
    <row r="28" spans="1:4" ht="16" thickBot="1" x14ac:dyDescent="0.4">
      <c r="A28" s="9" t="s">
        <v>23</v>
      </c>
      <c r="B28" s="14" t="s">
        <v>58</v>
      </c>
      <c r="C28" s="15" t="s">
        <v>62</v>
      </c>
      <c r="D28" s="12" t="s">
        <v>15</v>
      </c>
    </row>
    <row r="29" spans="1:4" ht="16" thickBot="1" x14ac:dyDescent="0.4">
      <c r="A29" s="9" t="s">
        <v>23</v>
      </c>
      <c r="B29" s="14" t="s">
        <v>59</v>
      </c>
      <c r="C29" s="16" t="s">
        <v>63</v>
      </c>
      <c r="D29" s="12" t="s">
        <v>15</v>
      </c>
    </row>
    <row r="30" spans="1:4" ht="16" thickBot="1" x14ac:dyDescent="0.4">
      <c r="A30" s="9" t="s">
        <v>24</v>
      </c>
      <c r="B30" s="14" t="s">
        <v>56</v>
      </c>
      <c r="C30" s="15" t="s">
        <v>60</v>
      </c>
      <c r="D30" s="12" t="s">
        <v>15</v>
      </c>
    </row>
    <row r="31" spans="1:4" ht="16" thickBot="1" x14ac:dyDescent="0.4">
      <c r="A31" s="9" t="s">
        <v>24</v>
      </c>
      <c r="B31" s="14" t="s">
        <v>57</v>
      </c>
      <c r="C31" s="15" t="s">
        <v>61</v>
      </c>
      <c r="D31" s="12" t="s">
        <v>15</v>
      </c>
    </row>
    <row r="32" spans="1:4" ht="16" thickBot="1" x14ac:dyDescent="0.4">
      <c r="A32" s="9" t="s">
        <v>24</v>
      </c>
      <c r="B32" s="14" t="s">
        <v>58</v>
      </c>
      <c r="C32" s="15" t="s">
        <v>62</v>
      </c>
      <c r="D32" s="12" t="s">
        <v>16</v>
      </c>
    </row>
    <row r="33" spans="1:4" ht="16" thickBot="1" x14ac:dyDescent="0.4">
      <c r="A33" s="9" t="s">
        <v>24</v>
      </c>
      <c r="B33" s="14" t="s">
        <v>59</v>
      </c>
      <c r="C33" s="16" t="s">
        <v>63</v>
      </c>
      <c r="D33" s="12" t="s">
        <v>16</v>
      </c>
    </row>
    <row r="34" spans="1:4" ht="16" thickBot="1" x14ac:dyDescent="0.4">
      <c r="A34" s="9" t="s">
        <v>25</v>
      </c>
      <c r="B34" s="14" t="s">
        <v>56</v>
      </c>
      <c r="C34" s="15" t="s">
        <v>60</v>
      </c>
      <c r="D34" s="12" t="s">
        <v>15</v>
      </c>
    </row>
    <row r="35" spans="1:4" ht="16" thickBot="1" x14ac:dyDescent="0.4">
      <c r="A35" s="9" t="s">
        <v>25</v>
      </c>
      <c r="B35" s="14" t="s">
        <v>57</v>
      </c>
      <c r="C35" s="15" t="s">
        <v>61</v>
      </c>
      <c r="D35" s="12" t="s">
        <v>15</v>
      </c>
    </row>
    <row r="36" spans="1:4" ht="16" thickBot="1" x14ac:dyDescent="0.4">
      <c r="A36" s="9" t="s">
        <v>25</v>
      </c>
      <c r="B36" s="14" t="s">
        <v>58</v>
      </c>
      <c r="C36" s="15" t="s">
        <v>62</v>
      </c>
      <c r="D36" s="12" t="s">
        <v>16</v>
      </c>
    </row>
    <row r="37" spans="1:4" ht="16" thickBot="1" x14ac:dyDescent="0.4">
      <c r="A37" s="9" t="s">
        <v>25</v>
      </c>
      <c r="B37" s="14" t="s">
        <v>59</v>
      </c>
      <c r="C37" s="16" t="s">
        <v>63</v>
      </c>
      <c r="D37" s="12" t="s">
        <v>16</v>
      </c>
    </row>
    <row r="38" spans="1:4" ht="16" thickBot="1" x14ac:dyDescent="0.4">
      <c r="A38" s="9" t="s">
        <v>26</v>
      </c>
      <c r="B38" s="14" t="s">
        <v>56</v>
      </c>
      <c r="C38" s="15" t="s">
        <v>60</v>
      </c>
      <c r="D38" s="12" t="s">
        <v>15</v>
      </c>
    </row>
    <row r="39" spans="1:4" ht="16" thickBot="1" x14ac:dyDescent="0.4">
      <c r="A39" s="9" t="s">
        <v>26</v>
      </c>
      <c r="B39" s="14" t="s">
        <v>57</v>
      </c>
      <c r="C39" s="15" t="s">
        <v>61</v>
      </c>
      <c r="D39" s="12" t="s">
        <v>15</v>
      </c>
    </row>
    <row r="40" spans="1:4" ht="16" thickBot="1" x14ac:dyDescent="0.4">
      <c r="A40" s="9" t="s">
        <v>26</v>
      </c>
      <c r="B40" s="14" t="s">
        <v>58</v>
      </c>
      <c r="C40" s="15" t="s">
        <v>62</v>
      </c>
      <c r="D40" s="12" t="s">
        <v>15</v>
      </c>
    </row>
    <row r="41" spans="1:4" ht="16" thickBot="1" x14ac:dyDescent="0.4">
      <c r="A41" s="9" t="s">
        <v>26</v>
      </c>
      <c r="B41" s="14" t="s">
        <v>59</v>
      </c>
      <c r="C41" s="16" t="s">
        <v>63</v>
      </c>
      <c r="D41" s="12" t="s">
        <v>15</v>
      </c>
    </row>
    <row r="42" spans="1:4" ht="16" thickBot="1" x14ac:dyDescent="0.4">
      <c r="A42" s="9" t="s">
        <v>27</v>
      </c>
      <c r="B42" s="14" t="s">
        <v>56</v>
      </c>
      <c r="C42" s="15" t="s">
        <v>60</v>
      </c>
      <c r="D42" s="12" t="s">
        <v>15</v>
      </c>
    </row>
    <row r="43" spans="1:4" ht="16" thickBot="1" x14ac:dyDescent="0.4">
      <c r="A43" s="9" t="s">
        <v>27</v>
      </c>
      <c r="B43" s="14" t="s">
        <v>57</v>
      </c>
      <c r="C43" s="15" t="s">
        <v>61</v>
      </c>
      <c r="D43" s="12" t="s">
        <v>15</v>
      </c>
    </row>
    <row r="44" spans="1:4" ht="16" thickBot="1" x14ac:dyDescent="0.4">
      <c r="A44" s="9" t="s">
        <v>27</v>
      </c>
      <c r="B44" s="14" t="s">
        <v>58</v>
      </c>
      <c r="C44" s="15" t="s">
        <v>62</v>
      </c>
      <c r="D44" s="12" t="s">
        <v>15</v>
      </c>
    </row>
    <row r="45" spans="1:4" ht="16" thickBot="1" x14ac:dyDescent="0.4">
      <c r="A45" s="9" t="s">
        <v>27</v>
      </c>
      <c r="B45" s="14" t="s">
        <v>59</v>
      </c>
      <c r="C45" s="16" t="s">
        <v>63</v>
      </c>
      <c r="D45" s="12" t="s">
        <v>16</v>
      </c>
    </row>
    <row r="46" spans="1:4" ht="16" thickBot="1" x14ac:dyDescent="0.4">
      <c r="A46" s="9" t="s">
        <v>28</v>
      </c>
      <c r="B46" s="14" t="s">
        <v>56</v>
      </c>
      <c r="C46" s="15" t="s">
        <v>60</v>
      </c>
      <c r="D46" s="12" t="s">
        <v>16</v>
      </c>
    </row>
    <row r="47" spans="1:4" ht="16" thickBot="1" x14ac:dyDescent="0.4">
      <c r="A47" s="9" t="s">
        <v>28</v>
      </c>
      <c r="B47" s="14" t="s">
        <v>57</v>
      </c>
      <c r="C47" s="15" t="s">
        <v>61</v>
      </c>
      <c r="D47" s="12" t="s">
        <v>16</v>
      </c>
    </row>
    <row r="48" spans="1:4" ht="16" thickBot="1" x14ac:dyDescent="0.4">
      <c r="A48" s="9" t="s">
        <v>28</v>
      </c>
      <c r="B48" s="14" t="s">
        <v>58</v>
      </c>
      <c r="C48" s="15" t="s">
        <v>62</v>
      </c>
      <c r="D48" s="12" t="s">
        <v>16</v>
      </c>
    </row>
    <row r="49" spans="1:4" ht="16" thickBot="1" x14ac:dyDescent="0.4">
      <c r="A49" s="9" t="s">
        <v>28</v>
      </c>
      <c r="B49" s="14" t="s">
        <v>59</v>
      </c>
      <c r="C49" s="16" t="s">
        <v>63</v>
      </c>
      <c r="D49" s="12" t="s">
        <v>16</v>
      </c>
    </row>
    <row r="50" spans="1:4" ht="16" thickBot="1" x14ac:dyDescent="0.4">
      <c r="A50" s="9" t="s">
        <v>29</v>
      </c>
      <c r="B50" s="14" t="s">
        <v>56</v>
      </c>
      <c r="C50" s="15" t="s">
        <v>60</v>
      </c>
      <c r="D50" s="12" t="s">
        <v>15</v>
      </c>
    </row>
    <row r="51" spans="1:4" ht="16" thickBot="1" x14ac:dyDescent="0.4">
      <c r="A51" s="9" t="s">
        <v>29</v>
      </c>
      <c r="B51" s="14" t="s">
        <v>57</v>
      </c>
      <c r="C51" s="15" t="s">
        <v>61</v>
      </c>
      <c r="D51" s="12" t="s">
        <v>15</v>
      </c>
    </row>
    <row r="52" spans="1:4" ht="16" thickBot="1" x14ac:dyDescent="0.4">
      <c r="A52" s="9" t="s">
        <v>29</v>
      </c>
      <c r="B52" s="14" t="s">
        <v>58</v>
      </c>
      <c r="C52" s="15" t="s">
        <v>62</v>
      </c>
      <c r="D52" s="12" t="s">
        <v>15</v>
      </c>
    </row>
    <row r="53" spans="1:4" ht="16" thickBot="1" x14ac:dyDescent="0.4">
      <c r="A53" s="9" t="s">
        <v>29</v>
      </c>
      <c r="B53" s="14" t="s">
        <v>59</v>
      </c>
      <c r="C53" s="16" t="s">
        <v>63</v>
      </c>
      <c r="D53" s="12" t="s">
        <v>15</v>
      </c>
    </row>
    <row r="54" spans="1:4" ht="16" thickBot="1" x14ac:dyDescent="0.4">
      <c r="A54" s="9" t="s">
        <v>30</v>
      </c>
      <c r="B54" s="14" t="s">
        <v>56</v>
      </c>
      <c r="C54" s="15" t="s">
        <v>60</v>
      </c>
      <c r="D54" s="12" t="s">
        <v>15</v>
      </c>
    </row>
    <row r="55" spans="1:4" ht="16" thickBot="1" x14ac:dyDescent="0.4">
      <c r="A55" s="9" t="s">
        <v>30</v>
      </c>
      <c r="B55" s="14" t="s">
        <v>57</v>
      </c>
      <c r="C55" s="15" t="s">
        <v>61</v>
      </c>
      <c r="D55" s="12" t="s">
        <v>15</v>
      </c>
    </row>
    <row r="56" spans="1:4" ht="16" thickBot="1" x14ac:dyDescent="0.4">
      <c r="A56" s="9" t="s">
        <v>30</v>
      </c>
      <c r="B56" s="14" t="s">
        <v>58</v>
      </c>
      <c r="C56" s="15" t="s">
        <v>62</v>
      </c>
      <c r="D56" s="12" t="s">
        <v>16</v>
      </c>
    </row>
    <row r="57" spans="1:4" ht="16" thickBot="1" x14ac:dyDescent="0.4">
      <c r="A57" s="9" t="s">
        <v>30</v>
      </c>
      <c r="B57" s="14" t="s">
        <v>59</v>
      </c>
      <c r="C57" s="16" t="s">
        <v>63</v>
      </c>
      <c r="D57" s="12" t="s">
        <v>16</v>
      </c>
    </row>
    <row r="58" spans="1:4" ht="16" thickBot="1" x14ac:dyDescent="0.4">
      <c r="A58" s="9" t="s">
        <v>34</v>
      </c>
      <c r="B58" s="14" t="s">
        <v>56</v>
      </c>
      <c r="C58" s="15" t="s">
        <v>60</v>
      </c>
      <c r="D58" s="12" t="s">
        <v>15</v>
      </c>
    </row>
    <row r="59" spans="1:4" ht="16" thickBot="1" x14ac:dyDescent="0.4">
      <c r="A59" s="9" t="s">
        <v>34</v>
      </c>
      <c r="B59" s="14" t="s">
        <v>57</v>
      </c>
      <c r="C59" s="15" t="s">
        <v>61</v>
      </c>
      <c r="D59" s="12" t="s">
        <v>15</v>
      </c>
    </row>
    <row r="60" spans="1:4" ht="16" thickBot="1" x14ac:dyDescent="0.4">
      <c r="A60" s="9" t="s">
        <v>34</v>
      </c>
      <c r="B60" s="14" t="s">
        <v>58</v>
      </c>
      <c r="C60" s="15" t="s">
        <v>62</v>
      </c>
      <c r="D60" s="12" t="s">
        <v>15</v>
      </c>
    </row>
    <row r="61" spans="1:4" ht="16" thickBot="1" x14ac:dyDescent="0.4">
      <c r="A61" s="9" t="s">
        <v>34</v>
      </c>
      <c r="B61" s="14" t="s">
        <v>59</v>
      </c>
      <c r="C61" s="16" t="s">
        <v>63</v>
      </c>
      <c r="D61" s="12" t="s">
        <v>15</v>
      </c>
    </row>
    <row r="62" spans="1:4" ht="16" thickBot="1" x14ac:dyDescent="0.4">
      <c r="A62" s="9" t="s">
        <v>36</v>
      </c>
      <c r="B62" s="14" t="s">
        <v>56</v>
      </c>
      <c r="C62" s="15" t="s">
        <v>60</v>
      </c>
      <c r="D62" s="12" t="s">
        <v>15</v>
      </c>
    </row>
    <row r="63" spans="1:4" ht="16" thickBot="1" x14ac:dyDescent="0.4">
      <c r="A63" s="9" t="s">
        <v>36</v>
      </c>
      <c r="B63" s="14" t="s">
        <v>57</v>
      </c>
      <c r="C63" s="15" t="s">
        <v>61</v>
      </c>
      <c r="D63" s="12" t="s">
        <v>15</v>
      </c>
    </row>
    <row r="64" spans="1:4" ht="16" thickBot="1" x14ac:dyDescent="0.4">
      <c r="A64" s="9" t="s">
        <v>36</v>
      </c>
      <c r="B64" s="14" t="s">
        <v>58</v>
      </c>
      <c r="C64" s="15" t="s">
        <v>62</v>
      </c>
      <c r="D64" s="12" t="s">
        <v>15</v>
      </c>
    </row>
    <row r="65" spans="1:4" ht="16" thickBot="1" x14ac:dyDescent="0.4">
      <c r="A65" s="9" t="s">
        <v>36</v>
      </c>
      <c r="B65" s="14" t="s">
        <v>59</v>
      </c>
      <c r="C65" s="16" t="s">
        <v>63</v>
      </c>
      <c r="D65" s="12" t="s">
        <v>15</v>
      </c>
    </row>
    <row r="66" spans="1:4" ht="16" thickBot="1" x14ac:dyDescent="0.4">
      <c r="A66" s="9" t="s">
        <v>37</v>
      </c>
      <c r="B66" s="14" t="s">
        <v>56</v>
      </c>
      <c r="C66" s="15" t="s">
        <v>60</v>
      </c>
      <c r="D66" s="12" t="s">
        <v>15</v>
      </c>
    </row>
    <row r="67" spans="1:4" ht="16" thickBot="1" x14ac:dyDescent="0.4">
      <c r="A67" s="9" t="s">
        <v>37</v>
      </c>
      <c r="B67" s="14" t="s">
        <v>57</v>
      </c>
      <c r="C67" s="15" t="s">
        <v>61</v>
      </c>
      <c r="D67" s="12" t="s">
        <v>15</v>
      </c>
    </row>
    <row r="68" spans="1:4" ht="16" thickBot="1" x14ac:dyDescent="0.4">
      <c r="A68" s="9" t="s">
        <v>37</v>
      </c>
      <c r="B68" s="14" t="s">
        <v>58</v>
      </c>
      <c r="C68" s="15" t="s">
        <v>62</v>
      </c>
      <c r="D68" s="12" t="s">
        <v>15</v>
      </c>
    </row>
    <row r="69" spans="1:4" ht="16" thickBot="1" x14ac:dyDescent="0.4">
      <c r="A69" s="9" t="s">
        <v>37</v>
      </c>
      <c r="B69" s="14" t="s">
        <v>59</v>
      </c>
      <c r="C69" s="16" t="s">
        <v>63</v>
      </c>
      <c r="D69" s="12" t="s">
        <v>16</v>
      </c>
    </row>
    <row r="70" spans="1:4" ht="16" thickBot="1" x14ac:dyDescent="0.4">
      <c r="A70" s="9" t="s">
        <v>38</v>
      </c>
      <c r="B70" s="14" t="s">
        <v>56</v>
      </c>
      <c r="C70" s="15" t="s">
        <v>60</v>
      </c>
      <c r="D70" s="12" t="s">
        <v>16</v>
      </c>
    </row>
    <row r="71" spans="1:4" ht="16" thickBot="1" x14ac:dyDescent="0.4">
      <c r="A71" s="9" t="s">
        <v>38</v>
      </c>
      <c r="B71" s="14" t="s">
        <v>57</v>
      </c>
      <c r="C71" s="15" t="s">
        <v>61</v>
      </c>
      <c r="D71" s="12" t="s">
        <v>16</v>
      </c>
    </row>
    <row r="72" spans="1:4" ht="16" thickBot="1" x14ac:dyDescent="0.4">
      <c r="A72" s="9" t="s">
        <v>38</v>
      </c>
      <c r="B72" s="14" t="s">
        <v>58</v>
      </c>
      <c r="C72" s="15" t="s">
        <v>62</v>
      </c>
      <c r="D72" s="12" t="s">
        <v>15</v>
      </c>
    </row>
    <row r="73" spans="1:4" ht="16" thickBot="1" x14ac:dyDescent="0.4">
      <c r="A73" s="9" t="s">
        <v>38</v>
      </c>
      <c r="B73" s="14" t="s">
        <v>59</v>
      </c>
      <c r="C73" s="16" t="s">
        <v>63</v>
      </c>
      <c r="D73" s="12" t="s">
        <v>15</v>
      </c>
    </row>
    <row r="74" spans="1:4" ht="16" thickBot="1" x14ac:dyDescent="0.4">
      <c r="A74" s="9" t="s">
        <v>39</v>
      </c>
      <c r="B74" s="14" t="s">
        <v>56</v>
      </c>
      <c r="C74" s="15" t="s">
        <v>60</v>
      </c>
      <c r="D74" s="12" t="s">
        <v>15</v>
      </c>
    </row>
    <row r="75" spans="1:4" ht="16" thickBot="1" x14ac:dyDescent="0.4">
      <c r="A75" s="9" t="s">
        <v>39</v>
      </c>
      <c r="B75" s="14" t="s">
        <v>57</v>
      </c>
      <c r="C75" s="15" t="s">
        <v>61</v>
      </c>
      <c r="D75" s="12" t="s">
        <v>15</v>
      </c>
    </row>
    <row r="76" spans="1:4" ht="16" thickBot="1" x14ac:dyDescent="0.4">
      <c r="A76" s="9" t="s">
        <v>39</v>
      </c>
      <c r="B76" s="14" t="s">
        <v>58</v>
      </c>
      <c r="C76" s="15" t="s">
        <v>62</v>
      </c>
      <c r="D76" s="12" t="s">
        <v>15</v>
      </c>
    </row>
    <row r="77" spans="1:4" ht="16" thickBot="1" x14ac:dyDescent="0.4">
      <c r="A77" s="9" t="s">
        <v>39</v>
      </c>
      <c r="B77" s="14" t="s">
        <v>59</v>
      </c>
      <c r="C77" s="16" t="s">
        <v>63</v>
      </c>
      <c r="D77" s="12" t="s">
        <v>16</v>
      </c>
    </row>
    <row r="78" spans="1:4" ht="16" thickBot="1" x14ac:dyDescent="0.4">
      <c r="A78" s="9" t="s">
        <v>40</v>
      </c>
      <c r="B78" s="14" t="s">
        <v>56</v>
      </c>
      <c r="C78" s="15" t="s">
        <v>60</v>
      </c>
      <c r="D78" s="12" t="s">
        <v>16</v>
      </c>
    </row>
    <row r="79" spans="1:4" ht="16" thickBot="1" x14ac:dyDescent="0.4">
      <c r="A79" s="9" t="s">
        <v>40</v>
      </c>
      <c r="B79" s="14" t="s">
        <v>57</v>
      </c>
      <c r="C79" s="15" t="s">
        <v>61</v>
      </c>
      <c r="D79" s="12" t="s">
        <v>16</v>
      </c>
    </row>
    <row r="80" spans="1:4" ht="16" thickBot="1" x14ac:dyDescent="0.4">
      <c r="A80" s="9" t="s">
        <v>40</v>
      </c>
      <c r="B80" s="14" t="s">
        <v>58</v>
      </c>
      <c r="C80" s="15" t="s">
        <v>62</v>
      </c>
      <c r="D80" s="12" t="s">
        <v>15</v>
      </c>
    </row>
    <row r="81" spans="1:4" ht="16" thickBot="1" x14ac:dyDescent="0.4">
      <c r="A81" s="9" t="s">
        <v>40</v>
      </c>
      <c r="B81" s="14" t="s">
        <v>59</v>
      </c>
      <c r="C81" s="16" t="s">
        <v>63</v>
      </c>
      <c r="D81" s="12" t="s">
        <v>15</v>
      </c>
    </row>
    <row r="82" spans="1:4" ht="16" thickBot="1" x14ac:dyDescent="0.4">
      <c r="A82" s="9" t="s">
        <v>41</v>
      </c>
      <c r="B82" s="14" t="s">
        <v>56</v>
      </c>
      <c r="C82" s="15" t="s">
        <v>60</v>
      </c>
      <c r="D82" s="12" t="s">
        <v>15</v>
      </c>
    </row>
    <row r="83" spans="1:4" ht="16" thickBot="1" x14ac:dyDescent="0.4">
      <c r="A83" s="9" t="s">
        <v>41</v>
      </c>
      <c r="B83" s="14" t="s">
        <v>57</v>
      </c>
      <c r="C83" s="15" t="s">
        <v>61</v>
      </c>
      <c r="D83" s="12" t="s">
        <v>15</v>
      </c>
    </row>
    <row r="84" spans="1:4" ht="16" thickBot="1" x14ac:dyDescent="0.4">
      <c r="A84" s="9" t="s">
        <v>41</v>
      </c>
      <c r="B84" s="14" t="s">
        <v>58</v>
      </c>
      <c r="C84" s="15" t="s">
        <v>62</v>
      </c>
      <c r="D84" s="12" t="s">
        <v>15</v>
      </c>
    </row>
    <row r="85" spans="1:4" ht="16" thickBot="1" x14ac:dyDescent="0.4">
      <c r="A85" s="9" t="s">
        <v>41</v>
      </c>
      <c r="B85" s="14" t="s">
        <v>59</v>
      </c>
      <c r="C85" s="16" t="s">
        <v>63</v>
      </c>
      <c r="D85" s="12" t="s">
        <v>15</v>
      </c>
    </row>
    <row r="86" spans="1:4" ht="16" thickBot="1" x14ac:dyDescent="0.4">
      <c r="A86" s="9" t="s">
        <v>43</v>
      </c>
      <c r="B86" s="14" t="s">
        <v>56</v>
      </c>
      <c r="C86" s="15" t="s">
        <v>60</v>
      </c>
      <c r="D86" s="12" t="s">
        <v>16</v>
      </c>
    </row>
    <row r="87" spans="1:4" ht="16" thickBot="1" x14ac:dyDescent="0.4">
      <c r="A87" s="9" t="s">
        <v>43</v>
      </c>
      <c r="B87" s="14" t="s">
        <v>57</v>
      </c>
      <c r="C87" s="15" t="s">
        <v>61</v>
      </c>
      <c r="D87" s="12" t="s">
        <v>15</v>
      </c>
    </row>
    <row r="88" spans="1:4" ht="16" thickBot="1" x14ac:dyDescent="0.4">
      <c r="A88" s="9" t="s">
        <v>43</v>
      </c>
      <c r="B88" s="14" t="s">
        <v>58</v>
      </c>
      <c r="C88" s="15" t="s">
        <v>62</v>
      </c>
      <c r="D88" s="12" t="s">
        <v>15</v>
      </c>
    </row>
    <row r="89" spans="1:4" ht="16" thickBot="1" x14ac:dyDescent="0.4">
      <c r="A89" s="9" t="s">
        <v>43</v>
      </c>
      <c r="B89" s="14" t="s">
        <v>59</v>
      </c>
      <c r="C89" s="16" t="s">
        <v>63</v>
      </c>
      <c r="D89" s="12" t="s">
        <v>16</v>
      </c>
    </row>
    <row r="90" spans="1:4" ht="16" thickBot="1" x14ac:dyDescent="0.4">
      <c r="A90" s="9" t="s">
        <v>44</v>
      </c>
      <c r="B90" s="14" t="s">
        <v>56</v>
      </c>
      <c r="C90" s="15" t="s">
        <v>60</v>
      </c>
      <c r="D90" s="12" t="s">
        <v>15</v>
      </c>
    </row>
    <row r="91" spans="1:4" ht="16" thickBot="1" x14ac:dyDescent="0.4">
      <c r="A91" s="9" t="s">
        <v>44</v>
      </c>
      <c r="B91" s="14" t="s">
        <v>57</v>
      </c>
      <c r="C91" s="15" t="s">
        <v>61</v>
      </c>
      <c r="D91" s="12" t="s">
        <v>16</v>
      </c>
    </row>
    <row r="92" spans="1:4" ht="16" thickBot="1" x14ac:dyDescent="0.4">
      <c r="A92" s="9" t="s">
        <v>44</v>
      </c>
      <c r="B92" s="14" t="s">
        <v>58</v>
      </c>
      <c r="C92" s="15" t="s">
        <v>62</v>
      </c>
      <c r="D92" s="12" t="s">
        <v>16</v>
      </c>
    </row>
    <row r="93" spans="1:4" ht="16" thickBot="1" x14ac:dyDescent="0.4">
      <c r="A93" s="9" t="s">
        <v>44</v>
      </c>
      <c r="B93" s="14" t="s">
        <v>59</v>
      </c>
      <c r="C93" s="16" t="s">
        <v>63</v>
      </c>
      <c r="D93" s="12" t="s">
        <v>16</v>
      </c>
    </row>
    <row r="94" spans="1:4" ht="16" thickBot="1" x14ac:dyDescent="0.4">
      <c r="A94" s="9" t="s">
        <v>45</v>
      </c>
      <c r="B94" s="14" t="s">
        <v>56</v>
      </c>
      <c r="C94" s="15" t="s">
        <v>60</v>
      </c>
      <c r="D94" s="12" t="s">
        <v>15</v>
      </c>
    </row>
    <row r="95" spans="1:4" ht="16" thickBot="1" x14ac:dyDescent="0.4">
      <c r="A95" s="9" t="s">
        <v>45</v>
      </c>
      <c r="B95" s="14" t="s">
        <v>57</v>
      </c>
      <c r="C95" s="15" t="s">
        <v>61</v>
      </c>
      <c r="D95" s="12" t="s">
        <v>15</v>
      </c>
    </row>
    <row r="96" spans="1:4" ht="16" thickBot="1" x14ac:dyDescent="0.4">
      <c r="A96" s="9" t="s">
        <v>45</v>
      </c>
      <c r="B96" s="14" t="s">
        <v>58</v>
      </c>
      <c r="C96" s="15" t="s">
        <v>62</v>
      </c>
      <c r="D96" s="12" t="s">
        <v>15</v>
      </c>
    </row>
    <row r="97" spans="1:4" ht="16" thickBot="1" x14ac:dyDescent="0.4">
      <c r="A97" s="9" t="s">
        <v>45</v>
      </c>
      <c r="B97" s="14" t="s">
        <v>59</v>
      </c>
      <c r="C97" s="16" t="s">
        <v>63</v>
      </c>
      <c r="D97" s="12" t="s">
        <v>15</v>
      </c>
    </row>
    <row r="98" spans="1:4" ht="16" thickBot="1" x14ac:dyDescent="0.4">
      <c r="A98" s="9" t="s">
        <v>47</v>
      </c>
      <c r="B98" s="14" t="s">
        <v>56</v>
      </c>
      <c r="C98" s="15" t="s">
        <v>60</v>
      </c>
      <c r="D98" s="12" t="s">
        <v>16</v>
      </c>
    </row>
    <row r="99" spans="1:4" ht="16" thickBot="1" x14ac:dyDescent="0.4">
      <c r="A99" s="9" t="s">
        <v>47</v>
      </c>
      <c r="B99" s="14" t="s">
        <v>57</v>
      </c>
      <c r="C99" s="15" t="s">
        <v>61</v>
      </c>
      <c r="D99" s="12" t="s">
        <v>15</v>
      </c>
    </row>
    <row r="100" spans="1:4" ht="16" thickBot="1" x14ac:dyDescent="0.4">
      <c r="A100" s="9" t="s">
        <v>47</v>
      </c>
      <c r="B100" s="14" t="s">
        <v>58</v>
      </c>
      <c r="C100" s="15" t="s">
        <v>62</v>
      </c>
      <c r="D100" s="12" t="s">
        <v>16</v>
      </c>
    </row>
    <row r="101" spans="1:4" ht="16" thickBot="1" x14ac:dyDescent="0.4">
      <c r="A101" s="9" t="s">
        <v>47</v>
      </c>
      <c r="B101" s="14" t="s">
        <v>59</v>
      </c>
      <c r="C101" s="16" t="s">
        <v>63</v>
      </c>
      <c r="D101" s="12" t="s">
        <v>16</v>
      </c>
    </row>
    <row r="102" spans="1:4" ht="16" thickBot="1" x14ac:dyDescent="0.4">
      <c r="A102" s="9" t="s">
        <v>49</v>
      </c>
      <c r="B102" s="14" t="s">
        <v>56</v>
      </c>
      <c r="C102" s="15" t="s">
        <v>60</v>
      </c>
      <c r="D102" s="12" t="s">
        <v>15</v>
      </c>
    </row>
    <row r="103" spans="1:4" ht="16" thickBot="1" x14ac:dyDescent="0.4">
      <c r="A103" s="9" t="s">
        <v>49</v>
      </c>
      <c r="B103" s="14" t="s">
        <v>57</v>
      </c>
      <c r="C103" s="15" t="s">
        <v>61</v>
      </c>
      <c r="D103" s="12" t="s">
        <v>15</v>
      </c>
    </row>
    <row r="104" spans="1:4" ht="16" thickBot="1" x14ac:dyDescent="0.4">
      <c r="A104" s="9" t="s">
        <v>49</v>
      </c>
      <c r="B104" s="14" t="s">
        <v>58</v>
      </c>
      <c r="C104" s="15" t="s">
        <v>62</v>
      </c>
      <c r="D104" s="12" t="s">
        <v>15</v>
      </c>
    </row>
    <row r="105" spans="1:4" ht="16" thickBot="1" x14ac:dyDescent="0.4">
      <c r="A105" s="9" t="s">
        <v>49</v>
      </c>
      <c r="B105" s="14" t="s">
        <v>59</v>
      </c>
      <c r="C105" s="16" t="s">
        <v>63</v>
      </c>
      <c r="D105" s="12" t="s">
        <v>15</v>
      </c>
    </row>
    <row r="106" spans="1:4" ht="16" thickBot="1" x14ac:dyDescent="0.4">
      <c r="A106" s="9" t="s">
        <v>50</v>
      </c>
      <c r="B106" s="14" t="s">
        <v>56</v>
      </c>
      <c r="C106" s="15" t="s">
        <v>60</v>
      </c>
      <c r="D106" s="12" t="s">
        <v>15</v>
      </c>
    </row>
    <row r="107" spans="1:4" ht="16" thickBot="1" x14ac:dyDescent="0.4">
      <c r="A107" s="9" t="s">
        <v>50</v>
      </c>
      <c r="B107" s="14" t="s">
        <v>57</v>
      </c>
      <c r="C107" s="15" t="s">
        <v>61</v>
      </c>
      <c r="D107" s="12" t="s">
        <v>15</v>
      </c>
    </row>
    <row r="108" spans="1:4" ht="16" thickBot="1" x14ac:dyDescent="0.4">
      <c r="A108" s="9" t="s">
        <v>50</v>
      </c>
      <c r="B108" s="14" t="s">
        <v>58</v>
      </c>
      <c r="C108" s="15" t="s">
        <v>62</v>
      </c>
      <c r="D108" s="12" t="s">
        <v>15</v>
      </c>
    </row>
    <row r="109" spans="1:4" ht="16" thickBot="1" x14ac:dyDescent="0.4">
      <c r="A109" s="9" t="s">
        <v>50</v>
      </c>
      <c r="B109" s="14" t="s">
        <v>59</v>
      </c>
      <c r="C109" s="16" t="s">
        <v>63</v>
      </c>
      <c r="D109" s="12" t="s">
        <v>15</v>
      </c>
    </row>
    <row r="110" spans="1:4" ht="16" thickBot="1" x14ac:dyDescent="0.4">
      <c r="A110" s="9" t="s">
        <v>51</v>
      </c>
      <c r="B110" s="14" t="s">
        <v>56</v>
      </c>
      <c r="C110" s="15" t="s">
        <v>60</v>
      </c>
      <c r="D110" s="12" t="s">
        <v>15</v>
      </c>
    </row>
    <row r="111" spans="1:4" ht="16" thickBot="1" x14ac:dyDescent="0.4">
      <c r="A111" s="9" t="s">
        <v>51</v>
      </c>
      <c r="B111" s="14" t="s">
        <v>57</v>
      </c>
      <c r="C111" s="15" t="s">
        <v>61</v>
      </c>
      <c r="D111" s="12" t="s">
        <v>15</v>
      </c>
    </row>
    <row r="112" spans="1:4" ht="16" thickBot="1" x14ac:dyDescent="0.4">
      <c r="A112" s="9" t="s">
        <v>51</v>
      </c>
      <c r="B112" s="14" t="s">
        <v>58</v>
      </c>
      <c r="C112" s="15" t="s">
        <v>62</v>
      </c>
      <c r="D112" s="12" t="s">
        <v>15</v>
      </c>
    </row>
    <row r="113" spans="1:4" ht="16" thickBot="1" x14ac:dyDescent="0.4">
      <c r="A113" s="9" t="s">
        <v>51</v>
      </c>
      <c r="B113" s="14" t="s">
        <v>59</v>
      </c>
      <c r="C113" s="16" t="s">
        <v>63</v>
      </c>
      <c r="D113" s="12" t="s">
        <v>15</v>
      </c>
    </row>
    <row r="114" spans="1:4" ht="16" thickBot="1" x14ac:dyDescent="0.4">
      <c r="A114" s="9" t="s">
        <v>52</v>
      </c>
      <c r="B114" s="14" t="s">
        <v>56</v>
      </c>
      <c r="C114" s="15" t="s">
        <v>60</v>
      </c>
      <c r="D114" s="12" t="s">
        <v>15</v>
      </c>
    </row>
    <row r="115" spans="1:4" ht="16" thickBot="1" x14ac:dyDescent="0.4">
      <c r="A115" s="9" t="s">
        <v>52</v>
      </c>
      <c r="B115" s="14" t="s">
        <v>57</v>
      </c>
      <c r="C115" s="15" t="s">
        <v>61</v>
      </c>
      <c r="D115" s="12" t="s">
        <v>15</v>
      </c>
    </row>
    <row r="116" spans="1:4" ht="16" thickBot="1" x14ac:dyDescent="0.4">
      <c r="A116" s="9" t="s">
        <v>52</v>
      </c>
      <c r="B116" s="14" t="s">
        <v>58</v>
      </c>
      <c r="C116" s="15" t="s">
        <v>62</v>
      </c>
      <c r="D116" s="12" t="s">
        <v>15</v>
      </c>
    </row>
    <row r="117" spans="1:4" ht="16" thickBot="1" x14ac:dyDescent="0.4">
      <c r="A117" s="9" t="s">
        <v>52</v>
      </c>
      <c r="B117" s="14" t="s">
        <v>59</v>
      </c>
      <c r="C117" s="16" t="s">
        <v>63</v>
      </c>
      <c r="D117" s="12" t="s">
        <v>15</v>
      </c>
    </row>
  </sheetData>
  <autoFilter ref="A1:D117" xr:uid="{CBA62630-5714-CF47-9CCC-90A0E871CC36}"/>
  <dataValidations count="2">
    <dataValidation type="list" allowBlank="1" showInputMessage="1" showErrorMessage="1" sqref="A2:A117" xr:uid="{E3B850CA-A198-3C4D-A2BB-8BE7A686D5FF}">
      <formula1>Country</formula1>
    </dataValidation>
    <dataValidation type="list" allowBlank="1" showInputMessage="1" showErrorMessage="1" promptTitle="Select from the list" prompt="Select from the list" sqref="D2:D117" xr:uid="{AFC89A3C-BF47-D640-AB84-8F8D1844D541}">
      <formula1>"YES, NO"</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A46909-FD34-CF43-BA24-AC6308F8E1EA}">
  <dimension ref="A1:K533"/>
  <sheetViews>
    <sheetView topLeftCell="E1" workbookViewId="0">
      <selection activeCell="F14" sqref="F14:K14"/>
    </sheetView>
  </sheetViews>
  <sheetFormatPr defaultColWidth="10.6640625" defaultRowHeight="16" x14ac:dyDescent="0.4"/>
  <cols>
    <col min="2" max="2" width="161" bestFit="1" customWidth="1"/>
    <col min="3" max="3" width="51.33203125" style="6" customWidth="1"/>
    <col min="6" max="6" width="118.83203125" style="33" customWidth="1"/>
  </cols>
  <sheetData>
    <row r="1" spans="1:11" ht="24" thickBot="1" x14ac:dyDescent="0.45">
      <c r="A1" s="1" t="s">
        <v>53</v>
      </c>
      <c r="B1" s="21" t="s">
        <v>103</v>
      </c>
      <c r="C1" s="21" t="s">
        <v>64</v>
      </c>
    </row>
    <row r="2" spans="1:11" ht="24" thickBot="1" x14ac:dyDescent="0.6">
      <c r="A2" s="2" t="s">
        <v>14</v>
      </c>
      <c r="B2" s="17" t="s">
        <v>65</v>
      </c>
      <c r="C2" s="3" t="s">
        <v>15</v>
      </c>
      <c r="F2" s="77" t="s">
        <v>103</v>
      </c>
      <c r="G2" s="71" t="s">
        <v>98</v>
      </c>
      <c r="H2" s="71" t="s">
        <v>102</v>
      </c>
      <c r="I2" s="71" t="s">
        <v>113</v>
      </c>
      <c r="J2" s="71" t="s">
        <v>114</v>
      </c>
      <c r="K2" s="71" t="s">
        <v>112</v>
      </c>
    </row>
    <row r="3" spans="1:11" ht="23.5" x14ac:dyDescent="0.55000000000000004">
      <c r="A3" s="2" t="s">
        <v>14</v>
      </c>
      <c r="B3" s="19" t="s">
        <v>67</v>
      </c>
      <c r="C3" s="23" t="s">
        <v>15</v>
      </c>
      <c r="F3" s="78" t="s">
        <v>65</v>
      </c>
      <c r="G3" s="72">
        <f t="shared" ref="G3:H14" si="0">COUNTIFS($B:$B,$F3,$C:$C,G$2)</f>
        <v>26</v>
      </c>
      <c r="H3" s="72">
        <f t="shared" si="0"/>
        <v>0</v>
      </c>
      <c r="I3" s="73">
        <f>G3/K3</f>
        <v>1</v>
      </c>
      <c r="J3" s="73">
        <f>H3/K3</f>
        <v>0</v>
      </c>
      <c r="K3" s="72">
        <f>G3+H3</f>
        <v>26</v>
      </c>
    </row>
    <row r="4" spans="1:11" ht="23.5" x14ac:dyDescent="0.55000000000000004">
      <c r="A4" s="2" t="s">
        <v>14</v>
      </c>
      <c r="B4" s="20" t="s">
        <v>68</v>
      </c>
      <c r="C4" s="24" t="s">
        <v>15</v>
      </c>
      <c r="F4" s="79" t="s">
        <v>67</v>
      </c>
      <c r="G4" s="65">
        <f t="shared" si="0"/>
        <v>31</v>
      </c>
      <c r="H4" s="65">
        <f t="shared" si="0"/>
        <v>1</v>
      </c>
      <c r="I4" s="66">
        <f t="shared" ref="I4:I14" si="1">G4/K4</f>
        <v>0.96875</v>
      </c>
      <c r="J4" s="66">
        <f t="shared" ref="J4:J14" si="2">H4/K4</f>
        <v>3.125E-2</v>
      </c>
      <c r="K4" s="65">
        <f t="shared" ref="K4:K14" si="3">G4+H4</f>
        <v>32</v>
      </c>
    </row>
    <row r="5" spans="1:11" ht="23.5" x14ac:dyDescent="0.55000000000000004">
      <c r="A5" s="2" t="s">
        <v>14</v>
      </c>
      <c r="B5" s="20" t="s">
        <v>69</v>
      </c>
      <c r="C5" s="25" t="s">
        <v>15</v>
      </c>
      <c r="F5" s="79" t="s">
        <v>68</v>
      </c>
      <c r="G5" s="65">
        <f t="shared" si="0"/>
        <v>32</v>
      </c>
      <c r="H5" s="65">
        <f t="shared" si="0"/>
        <v>0</v>
      </c>
      <c r="I5" s="66">
        <f t="shared" si="1"/>
        <v>1</v>
      </c>
      <c r="J5" s="66">
        <f t="shared" si="2"/>
        <v>0</v>
      </c>
      <c r="K5" s="65">
        <f t="shared" si="3"/>
        <v>32</v>
      </c>
    </row>
    <row r="6" spans="1:11" ht="23.5" x14ac:dyDescent="0.55000000000000004">
      <c r="A6" s="2" t="s">
        <v>14</v>
      </c>
      <c r="B6" s="20" t="s">
        <v>70</v>
      </c>
      <c r="C6" s="25" t="s">
        <v>15</v>
      </c>
      <c r="F6" s="79" t="s">
        <v>69</v>
      </c>
      <c r="G6" s="65">
        <f t="shared" si="0"/>
        <v>29</v>
      </c>
      <c r="H6" s="65">
        <f t="shared" si="0"/>
        <v>4</v>
      </c>
      <c r="I6" s="66">
        <f t="shared" si="1"/>
        <v>0.87878787878787878</v>
      </c>
      <c r="J6" s="66">
        <f t="shared" si="2"/>
        <v>0.12121212121212122</v>
      </c>
      <c r="K6" s="65">
        <f t="shared" si="3"/>
        <v>33</v>
      </c>
    </row>
    <row r="7" spans="1:11" ht="23.5" x14ac:dyDescent="0.55000000000000004">
      <c r="A7" s="2" t="s">
        <v>14</v>
      </c>
      <c r="B7" s="20" t="s">
        <v>71</v>
      </c>
      <c r="C7" s="25" t="s">
        <v>15</v>
      </c>
      <c r="F7" s="79" t="s">
        <v>70</v>
      </c>
      <c r="G7" s="65">
        <f t="shared" si="0"/>
        <v>31</v>
      </c>
      <c r="H7" s="65">
        <f t="shared" si="0"/>
        <v>1</v>
      </c>
      <c r="I7" s="66">
        <f t="shared" si="1"/>
        <v>0.96875</v>
      </c>
      <c r="J7" s="66">
        <f t="shared" si="2"/>
        <v>3.125E-2</v>
      </c>
      <c r="K7" s="65">
        <f t="shared" si="3"/>
        <v>32</v>
      </c>
    </row>
    <row r="8" spans="1:11" ht="23.5" x14ac:dyDescent="0.55000000000000004">
      <c r="A8" s="2" t="s">
        <v>14</v>
      </c>
      <c r="B8" s="20" t="s">
        <v>72</v>
      </c>
      <c r="C8" s="25" t="s">
        <v>16</v>
      </c>
      <c r="F8" s="79" t="s">
        <v>71</v>
      </c>
      <c r="G8" s="65">
        <f t="shared" si="0"/>
        <v>28</v>
      </c>
      <c r="H8" s="65">
        <f t="shared" si="0"/>
        <v>4</v>
      </c>
      <c r="I8" s="66">
        <f t="shared" si="1"/>
        <v>0.875</v>
      </c>
      <c r="J8" s="66">
        <f t="shared" si="2"/>
        <v>0.125</v>
      </c>
      <c r="K8" s="65">
        <f t="shared" si="3"/>
        <v>32</v>
      </c>
    </row>
    <row r="9" spans="1:11" ht="24" thickBot="1" x14ac:dyDescent="0.6">
      <c r="A9" s="2" t="s">
        <v>14</v>
      </c>
      <c r="B9" s="20" t="s">
        <v>73</v>
      </c>
      <c r="C9" s="25" t="s">
        <v>15</v>
      </c>
      <c r="F9" s="79" t="s">
        <v>72</v>
      </c>
      <c r="G9" s="65">
        <f t="shared" si="0"/>
        <v>21</v>
      </c>
      <c r="H9" s="65">
        <f t="shared" si="0"/>
        <v>10</v>
      </c>
      <c r="I9" s="66">
        <f t="shared" si="1"/>
        <v>0.67741935483870963</v>
      </c>
      <c r="J9" s="66">
        <f t="shared" si="2"/>
        <v>0.32258064516129031</v>
      </c>
      <c r="K9" s="65">
        <f t="shared" si="3"/>
        <v>31</v>
      </c>
    </row>
    <row r="10" spans="1:11" ht="24" thickBot="1" x14ac:dyDescent="0.6">
      <c r="A10" s="2" t="s">
        <v>14</v>
      </c>
      <c r="B10" s="17" t="s">
        <v>75</v>
      </c>
      <c r="C10" s="3" t="s">
        <v>15</v>
      </c>
      <c r="F10" s="79" t="s">
        <v>73</v>
      </c>
      <c r="G10" s="65">
        <f t="shared" si="0"/>
        <v>22</v>
      </c>
      <c r="H10" s="65">
        <f t="shared" si="0"/>
        <v>7</v>
      </c>
      <c r="I10" s="66">
        <f t="shared" si="1"/>
        <v>0.75862068965517238</v>
      </c>
      <c r="J10" s="66">
        <f t="shared" si="2"/>
        <v>0.2413793103448276</v>
      </c>
      <c r="K10" s="65">
        <f t="shared" si="3"/>
        <v>29</v>
      </c>
    </row>
    <row r="11" spans="1:11" ht="24" thickBot="1" x14ac:dyDescent="0.6">
      <c r="A11" s="2" t="s">
        <v>14</v>
      </c>
      <c r="B11" s="17" t="s">
        <v>76</v>
      </c>
      <c r="C11" s="3" t="s">
        <v>15</v>
      </c>
      <c r="F11" s="78" t="s">
        <v>75</v>
      </c>
      <c r="G11" s="72">
        <f t="shared" si="0"/>
        <v>31</v>
      </c>
      <c r="H11" s="72">
        <f t="shared" si="0"/>
        <v>1</v>
      </c>
      <c r="I11" s="73">
        <f t="shared" si="1"/>
        <v>0.96875</v>
      </c>
      <c r="J11" s="73">
        <f t="shared" si="2"/>
        <v>3.125E-2</v>
      </c>
      <c r="K11" s="72">
        <f t="shared" si="3"/>
        <v>32</v>
      </c>
    </row>
    <row r="12" spans="1:11" ht="24" thickBot="1" x14ac:dyDescent="0.6">
      <c r="A12" s="2" t="s">
        <v>14</v>
      </c>
      <c r="B12" s="17" t="s">
        <v>77</v>
      </c>
      <c r="C12" s="3" t="s">
        <v>85</v>
      </c>
      <c r="F12" s="80" t="s">
        <v>76</v>
      </c>
      <c r="G12" s="65">
        <f t="shared" si="0"/>
        <v>24</v>
      </c>
      <c r="H12" s="65">
        <f t="shared" si="0"/>
        <v>7</v>
      </c>
      <c r="I12" s="74">
        <f t="shared" si="1"/>
        <v>0.77419354838709675</v>
      </c>
      <c r="J12" s="74">
        <f t="shared" si="2"/>
        <v>0.22580645161290322</v>
      </c>
      <c r="K12" s="65">
        <f t="shared" si="3"/>
        <v>31</v>
      </c>
    </row>
    <row r="13" spans="1:11" ht="24" thickBot="1" x14ac:dyDescent="0.6">
      <c r="A13" s="2" t="s">
        <v>14</v>
      </c>
      <c r="B13" s="17" t="s">
        <v>78</v>
      </c>
      <c r="C13" s="3" t="s">
        <v>15</v>
      </c>
      <c r="F13" s="80" t="s">
        <v>77</v>
      </c>
      <c r="G13" s="65">
        <f t="shared" si="0"/>
        <v>20</v>
      </c>
      <c r="H13" s="65">
        <f t="shared" si="0"/>
        <v>12</v>
      </c>
      <c r="I13" s="74">
        <f t="shared" si="1"/>
        <v>0.625</v>
      </c>
      <c r="J13" s="74">
        <f t="shared" si="2"/>
        <v>0.375</v>
      </c>
      <c r="K13" s="65">
        <f t="shared" si="3"/>
        <v>32</v>
      </c>
    </row>
    <row r="14" spans="1:11" ht="24" thickBot="1" x14ac:dyDescent="0.6">
      <c r="A14" s="2" t="s">
        <v>14</v>
      </c>
      <c r="B14" s="17" t="s">
        <v>79</v>
      </c>
      <c r="C14" s="3" t="s">
        <v>15</v>
      </c>
      <c r="F14" s="81" t="s">
        <v>78</v>
      </c>
      <c r="G14" s="68">
        <f t="shared" si="0"/>
        <v>14</v>
      </c>
      <c r="H14" s="68">
        <f t="shared" si="0"/>
        <v>13</v>
      </c>
      <c r="I14" s="76">
        <f t="shared" si="1"/>
        <v>0.51851851851851849</v>
      </c>
      <c r="J14" s="76">
        <f t="shared" si="2"/>
        <v>0.48148148148148145</v>
      </c>
      <c r="K14" s="68">
        <f t="shared" si="3"/>
        <v>27</v>
      </c>
    </row>
    <row r="15" spans="1:11" ht="24" thickBot="1" x14ac:dyDescent="0.6">
      <c r="A15" s="2" t="s">
        <v>14</v>
      </c>
      <c r="B15" s="17" t="s">
        <v>80</v>
      </c>
      <c r="C15" s="3">
        <v>2</v>
      </c>
    </row>
    <row r="16" spans="1:11" ht="24" thickBot="1" x14ac:dyDescent="0.6">
      <c r="A16" s="2" t="s">
        <v>14</v>
      </c>
      <c r="B16" s="17" t="s">
        <v>81</v>
      </c>
      <c r="C16" s="3" t="s">
        <v>86</v>
      </c>
    </row>
    <row r="17" spans="1:3" ht="24" thickBot="1" x14ac:dyDescent="0.6">
      <c r="A17" s="2" t="s">
        <v>14</v>
      </c>
      <c r="B17" s="17" t="s">
        <v>82</v>
      </c>
      <c r="C17" s="3" t="s">
        <v>87</v>
      </c>
    </row>
    <row r="18" spans="1:3" ht="24" thickBot="1" x14ac:dyDescent="0.6">
      <c r="A18" s="2" t="s">
        <v>14</v>
      </c>
      <c r="B18" s="17" t="s">
        <v>83</v>
      </c>
      <c r="C18" s="3" t="s">
        <v>20</v>
      </c>
    </row>
    <row r="19" spans="1:3" ht="24" thickBot="1" x14ac:dyDescent="0.6">
      <c r="A19" s="2" t="s">
        <v>14</v>
      </c>
      <c r="B19" s="17" t="s">
        <v>84</v>
      </c>
      <c r="C19" s="3" t="s">
        <v>88</v>
      </c>
    </row>
    <row r="20" spans="1:3" ht="24" thickBot="1" x14ac:dyDescent="0.6">
      <c r="A20" s="2" t="s">
        <v>17</v>
      </c>
      <c r="B20" s="17" t="s">
        <v>65</v>
      </c>
      <c r="C20" s="3" t="s">
        <v>15</v>
      </c>
    </row>
    <row r="21" spans="1:3" ht="23.5" x14ac:dyDescent="0.55000000000000004">
      <c r="A21" s="2" t="s">
        <v>17</v>
      </c>
      <c r="B21" s="19" t="s">
        <v>67</v>
      </c>
      <c r="C21" s="23" t="s">
        <v>15</v>
      </c>
    </row>
    <row r="22" spans="1:3" ht="23.5" x14ac:dyDescent="0.55000000000000004">
      <c r="A22" s="2" t="s">
        <v>17</v>
      </c>
      <c r="B22" s="20" t="s">
        <v>68</v>
      </c>
      <c r="C22" s="24" t="s">
        <v>15</v>
      </c>
    </row>
    <row r="23" spans="1:3" ht="23.5" x14ac:dyDescent="0.55000000000000004">
      <c r="A23" s="2" t="s">
        <v>17</v>
      </c>
      <c r="B23" s="20" t="s">
        <v>69</v>
      </c>
      <c r="C23" s="25" t="s">
        <v>15</v>
      </c>
    </row>
    <row r="24" spans="1:3" ht="23.5" x14ac:dyDescent="0.55000000000000004">
      <c r="A24" s="2" t="s">
        <v>17</v>
      </c>
      <c r="B24" s="20" t="s">
        <v>70</v>
      </c>
      <c r="C24" s="25" t="s">
        <v>15</v>
      </c>
    </row>
    <row r="25" spans="1:3" ht="23.5" x14ac:dyDescent="0.55000000000000004">
      <c r="A25" s="2" t="s">
        <v>17</v>
      </c>
      <c r="B25" s="20" t="s">
        <v>71</v>
      </c>
      <c r="C25" s="25" t="s">
        <v>15</v>
      </c>
    </row>
    <row r="26" spans="1:3" ht="23.5" x14ac:dyDescent="0.55000000000000004">
      <c r="A26" s="2" t="s">
        <v>17</v>
      </c>
      <c r="B26" s="20" t="s">
        <v>72</v>
      </c>
      <c r="C26" s="25" t="s">
        <v>15</v>
      </c>
    </row>
    <row r="27" spans="1:3" ht="24" thickBot="1" x14ac:dyDescent="0.6">
      <c r="A27" s="2" t="s">
        <v>17</v>
      </c>
      <c r="B27" s="20" t="s">
        <v>73</v>
      </c>
      <c r="C27" s="25" t="s">
        <v>15</v>
      </c>
    </row>
    <row r="28" spans="1:3" ht="24" thickBot="1" x14ac:dyDescent="0.6">
      <c r="A28" s="2" t="s">
        <v>17</v>
      </c>
      <c r="B28" s="17" t="s">
        <v>75</v>
      </c>
      <c r="C28" s="3" t="s">
        <v>15</v>
      </c>
    </row>
    <row r="29" spans="1:3" ht="24" thickBot="1" x14ac:dyDescent="0.6">
      <c r="A29" s="2" t="s">
        <v>17</v>
      </c>
      <c r="B29" s="17" t="s">
        <v>76</v>
      </c>
      <c r="C29" s="3" t="s">
        <v>15</v>
      </c>
    </row>
    <row r="30" spans="1:3" ht="24" thickBot="1" x14ac:dyDescent="0.6">
      <c r="A30" s="2" t="s">
        <v>17</v>
      </c>
      <c r="B30" s="17" t="s">
        <v>77</v>
      </c>
      <c r="C30" s="3" t="s">
        <v>15</v>
      </c>
    </row>
    <row r="31" spans="1:3" ht="24" thickBot="1" x14ac:dyDescent="0.6">
      <c r="A31" s="2" t="s">
        <v>17</v>
      </c>
      <c r="B31" s="17" t="s">
        <v>78</v>
      </c>
      <c r="C31" s="3" t="s">
        <v>15</v>
      </c>
    </row>
    <row r="32" spans="1:3" ht="24" thickBot="1" x14ac:dyDescent="0.6">
      <c r="A32" s="2" t="s">
        <v>17</v>
      </c>
      <c r="B32" s="17" t="s">
        <v>79</v>
      </c>
      <c r="C32" s="3" t="s">
        <v>16</v>
      </c>
    </row>
    <row r="33" spans="1:3" ht="24" thickBot="1" x14ac:dyDescent="0.6">
      <c r="A33" s="2" t="s">
        <v>17</v>
      </c>
      <c r="B33" s="17" t="s">
        <v>83</v>
      </c>
      <c r="C33" s="3" t="s">
        <v>15</v>
      </c>
    </row>
    <row r="34" spans="1:3" ht="24" thickBot="1" x14ac:dyDescent="0.6">
      <c r="A34" s="2" t="s">
        <v>18</v>
      </c>
      <c r="B34" s="17" t="s">
        <v>65</v>
      </c>
      <c r="C34" s="3" t="s">
        <v>15</v>
      </c>
    </row>
    <row r="35" spans="1:3" ht="23.5" x14ac:dyDescent="0.55000000000000004">
      <c r="A35" s="2" t="s">
        <v>18</v>
      </c>
      <c r="B35" s="19" t="s">
        <v>67</v>
      </c>
      <c r="C35" s="23" t="s">
        <v>15</v>
      </c>
    </row>
    <row r="36" spans="1:3" ht="23.5" x14ac:dyDescent="0.55000000000000004">
      <c r="A36" s="2" t="s">
        <v>18</v>
      </c>
      <c r="B36" s="20" t="s">
        <v>68</v>
      </c>
      <c r="C36" s="24" t="s">
        <v>15</v>
      </c>
    </row>
    <row r="37" spans="1:3" ht="23.5" x14ac:dyDescent="0.55000000000000004">
      <c r="A37" s="2" t="s">
        <v>18</v>
      </c>
      <c r="B37" s="20" t="s">
        <v>69</v>
      </c>
      <c r="C37" s="25" t="s">
        <v>16</v>
      </c>
    </row>
    <row r="38" spans="1:3" ht="23.5" x14ac:dyDescent="0.55000000000000004">
      <c r="A38" s="2" t="s">
        <v>18</v>
      </c>
      <c r="B38" s="20" t="s">
        <v>70</v>
      </c>
      <c r="C38" s="25" t="s">
        <v>15</v>
      </c>
    </row>
    <row r="39" spans="1:3" ht="23.5" x14ac:dyDescent="0.55000000000000004">
      <c r="A39" s="2" t="s">
        <v>18</v>
      </c>
      <c r="B39" s="20" t="s">
        <v>71</v>
      </c>
      <c r="C39" s="25" t="s">
        <v>15</v>
      </c>
    </row>
    <row r="40" spans="1:3" ht="23.5" x14ac:dyDescent="0.55000000000000004">
      <c r="A40" s="2" t="s">
        <v>18</v>
      </c>
      <c r="B40" s="20" t="s">
        <v>72</v>
      </c>
      <c r="C40" s="25" t="s">
        <v>15</v>
      </c>
    </row>
    <row r="41" spans="1:3" ht="24" thickBot="1" x14ac:dyDescent="0.6">
      <c r="A41" s="2" t="s">
        <v>18</v>
      </c>
      <c r="B41" s="20" t="s">
        <v>73</v>
      </c>
      <c r="C41" s="25" t="s">
        <v>16</v>
      </c>
    </row>
    <row r="42" spans="1:3" ht="24" thickBot="1" x14ac:dyDescent="0.6">
      <c r="A42" s="2" t="s">
        <v>18</v>
      </c>
      <c r="B42" s="17" t="s">
        <v>75</v>
      </c>
      <c r="C42" s="3" t="s">
        <v>15</v>
      </c>
    </row>
    <row r="43" spans="1:3" ht="24" thickBot="1" x14ac:dyDescent="0.6">
      <c r="A43" s="2" t="s">
        <v>18</v>
      </c>
      <c r="B43" s="17" t="s">
        <v>76</v>
      </c>
      <c r="C43" s="3" t="s">
        <v>15</v>
      </c>
    </row>
    <row r="44" spans="1:3" ht="24" thickBot="1" x14ac:dyDescent="0.6">
      <c r="A44" s="2" t="s">
        <v>18</v>
      </c>
      <c r="B44" s="17" t="s">
        <v>77</v>
      </c>
      <c r="C44" s="3" t="s">
        <v>16</v>
      </c>
    </row>
    <row r="45" spans="1:3" ht="24" thickBot="1" x14ac:dyDescent="0.6">
      <c r="A45" s="2" t="s">
        <v>18</v>
      </c>
      <c r="B45" s="17" t="s">
        <v>78</v>
      </c>
      <c r="C45" s="3" t="s">
        <v>16</v>
      </c>
    </row>
    <row r="46" spans="1:3" ht="24" thickBot="1" x14ac:dyDescent="0.6">
      <c r="A46" s="2" t="s">
        <v>18</v>
      </c>
      <c r="B46" s="17" t="s">
        <v>79</v>
      </c>
      <c r="C46" s="3" t="s">
        <v>16</v>
      </c>
    </row>
    <row r="47" spans="1:3" ht="24" thickBot="1" x14ac:dyDescent="0.6">
      <c r="A47" s="2" t="s">
        <v>18</v>
      </c>
      <c r="B47" s="17" t="s">
        <v>80</v>
      </c>
      <c r="C47" s="3">
        <v>0</v>
      </c>
    </row>
    <row r="48" spans="1:3" ht="24" thickBot="1" x14ac:dyDescent="0.6">
      <c r="A48" s="2" t="s">
        <v>18</v>
      </c>
      <c r="B48" s="17" t="s">
        <v>83</v>
      </c>
      <c r="C48" s="3" t="s">
        <v>15</v>
      </c>
    </row>
    <row r="49" spans="1:3" ht="24" thickBot="1" x14ac:dyDescent="0.6">
      <c r="A49" s="2" t="s">
        <v>18</v>
      </c>
      <c r="B49" s="17" t="s">
        <v>84</v>
      </c>
      <c r="C49" s="3" t="s">
        <v>89</v>
      </c>
    </row>
    <row r="50" spans="1:3" ht="24" thickBot="1" x14ac:dyDescent="0.6">
      <c r="A50" s="2" t="s">
        <v>19</v>
      </c>
      <c r="B50" s="17" t="s">
        <v>65</v>
      </c>
      <c r="C50" s="3" t="s">
        <v>15</v>
      </c>
    </row>
    <row r="51" spans="1:3" ht="23.5" x14ac:dyDescent="0.55000000000000004">
      <c r="A51" s="2" t="s">
        <v>19</v>
      </c>
      <c r="B51" s="19" t="s">
        <v>67</v>
      </c>
      <c r="C51" s="23" t="s">
        <v>15</v>
      </c>
    </row>
    <row r="52" spans="1:3" ht="23.5" x14ac:dyDescent="0.55000000000000004">
      <c r="A52" s="2" t="s">
        <v>19</v>
      </c>
      <c r="B52" s="20" t="s">
        <v>68</v>
      </c>
      <c r="C52" s="24" t="s">
        <v>15</v>
      </c>
    </row>
    <row r="53" spans="1:3" ht="23.5" x14ac:dyDescent="0.55000000000000004">
      <c r="A53" s="2" t="s">
        <v>19</v>
      </c>
      <c r="B53" s="20" t="s">
        <v>69</v>
      </c>
      <c r="C53" s="25" t="s">
        <v>15</v>
      </c>
    </row>
    <row r="54" spans="1:3" ht="23.5" x14ac:dyDescent="0.55000000000000004">
      <c r="A54" s="2" t="s">
        <v>19</v>
      </c>
      <c r="B54" s="20" t="s">
        <v>70</v>
      </c>
      <c r="C54" s="25" t="s">
        <v>15</v>
      </c>
    </row>
    <row r="55" spans="1:3" ht="23.5" x14ac:dyDescent="0.55000000000000004">
      <c r="A55" s="2" t="s">
        <v>19</v>
      </c>
      <c r="B55" s="20" t="s">
        <v>71</v>
      </c>
      <c r="C55" s="25" t="s">
        <v>15</v>
      </c>
    </row>
    <row r="56" spans="1:3" ht="23.5" x14ac:dyDescent="0.55000000000000004">
      <c r="A56" s="2" t="s">
        <v>19</v>
      </c>
      <c r="B56" s="20" t="s">
        <v>72</v>
      </c>
      <c r="C56" s="25" t="s">
        <v>16</v>
      </c>
    </row>
    <row r="57" spans="1:3" ht="23.5" x14ac:dyDescent="0.55000000000000004">
      <c r="A57" s="2" t="s">
        <v>19</v>
      </c>
      <c r="B57" s="20" t="s">
        <v>73</v>
      </c>
      <c r="C57" s="25" t="s">
        <v>15</v>
      </c>
    </row>
    <row r="58" spans="1:3" ht="24" thickBot="1" x14ac:dyDescent="0.6">
      <c r="A58" s="2" t="s">
        <v>19</v>
      </c>
      <c r="B58" s="20" t="s">
        <v>74</v>
      </c>
      <c r="C58" s="26" t="s">
        <v>90</v>
      </c>
    </row>
    <row r="59" spans="1:3" ht="24" thickBot="1" x14ac:dyDescent="0.6">
      <c r="A59" s="2" t="s">
        <v>19</v>
      </c>
      <c r="B59" s="17" t="s">
        <v>75</v>
      </c>
      <c r="C59" s="3" t="s">
        <v>15</v>
      </c>
    </row>
    <row r="60" spans="1:3" ht="24" thickBot="1" x14ac:dyDescent="0.6">
      <c r="A60" s="2" t="s">
        <v>19</v>
      </c>
      <c r="B60" s="17" t="s">
        <v>76</v>
      </c>
      <c r="C60" s="3" t="s">
        <v>15</v>
      </c>
    </row>
    <row r="61" spans="1:3" ht="24" thickBot="1" x14ac:dyDescent="0.6">
      <c r="A61" s="2" t="s">
        <v>19</v>
      </c>
      <c r="B61" s="17" t="s">
        <v>77</v>
      </c>
      <c r="C61" s="3" t="s">
        <v>15</v>
      </c>
    </row>
    <row r="62" spans="1:3" ht="24" thickBot="1" x14ac:dyDescent="0.6">
      <c r="A62" s="2" t="s">
        <v>19</v>
      </c>
      <c r="B62" s="17" t="s">
        <v>78</v>
      </c>
      <c r="C62" s="3" t="s">
        <v>15</v>
      </c>
    </row>
    <row r="63" spans="1:3" ht="24" thickBot="1" x14ac:dyDescent="0.6">
      <c r="A63" s="2" t="s">
        <v>19</v>
      </c>
      <c r="B63" s="17" t="s">
        <v>79</v>
      </c>
      <c r="C63" s="3" t="s">
        <v>15</v>
      </c>
    </row>
    <row r="64" spans="1:3" ht="24" thickBot="1" x14ac:dyDescent="0.6">
      <c r="A64" s="2" t="s">
        <v>19</v>
      </c>
      <c r="B64" s="17" t="s">
        <v>80</v>
      </c>
      <c r="C64" s="3">
        <v>4</v>
      </c>
    </row>
    <row r="65" spans="1:3" ht="24" thickBot="1" x14ac:dyDescent="0.6">
      <c r="A65" s="2" t="s">
        <v>19</v>
      </c>
      <c r="B65" s="17" t="s">
        <v>81</v>
      </c>
      <c r="C65" s="3" t="s">
        <v>91</v>
      </c>
    </row>
    <row r="66" spans="1:3" ht="24" thickBot="1" x14ac:dyDescent="0.6">
      <c r="A66" s="2" t="s">
        <v>19</v>
      </c>
      <c r="B66" s="17" t="s">
        <v>82</v>
      </c>
      <c r="C66" s="3" t="s">
        <v>87</v>
      </c>
    </row>
    <row r="67" spans="1:3" ht="24" thickBot="1" x14ac:dyDescent="0.6">
      <c r="A67" s="2" t="s">
        <v>19</v>
      </c>
      <c r="B67" s="17" t="s">
        <v>83</v>
      </c>
      <c r="C67" s="3" t="s">
        <v>15</v>
      </c>
    </row>
    <row r="68" spans="1:3" ht="24" thickBot="1" x14ac:dyDescent="0.6">
      <c r="A68" s="2" t="s">
        <v>19</v>
      </c>
      <c r="B68" s="17" t="s">
        <v>84</v>
      </c>
      <c r="C68" s="3" t="s">
        <v>88</v>
      </c>
    </row>
    <row r="69" spans="1:3" ht="24" thickBot="1" x14ac:dyDescent="0.6">
      <c r="A69" s="2" t="s">
        <v>21</v>
      </c>
      <c r="B69" s="17" t="s">
        <v>65</v>
      </c>
      <c r="C69" s="3" t="s">
        <v>15</v>
      </c>
    </row>
    <row r="70" spans="1:3" ht="23.5" x14ac:dyDescent="0.55000000000000004">
      <c r="A70" s="2" t="s">
        <v>21</v>
      </c>
      <c r="B70" s="19" t="s">
        <v>67</v>
      </c>
      <c r="C70" s="23" t="s">
        <v>15</v>
      </c>
    </row>
    <row r="71" spans="1:3" ht="23.5" x14ac:dyDescent="0.55000000000000004">
      <c r="A71" s="2" t="s">
        <v>21</v>
      </c>
      <c r="B71" s="20" t="s">
        <v>68</v>
      </c>
      <c r="C71" s="24" t="s">
        <v>15</v>
      </c>
    </row>
    <row r="72" spans="1:3" ht="23.5" x14ac:dyDescent="0.55000000000000004">
      <c r="A72" s="2" t="s">
        <v>21</v>
      </c>
      <c r="B72" s="20" t="s">
        <v>69</v>
      </c>
      <c r="C72" s="25" t="s">
        <v>15</v>
      </c>
    </row>
    <row r="73" spans="1:3" ht="23.5" x14ac:dyDescent="0.55000000000000004">
      <c r="A73" s="2" t="s">
        <v>21</v>
      </c>
      <c r="B73" s="20" t="s">
        <v>70</v>
      </c>
      <c r="C73" s="25" t="s">
        <v>15</v>
      </c>
    </row>
    <row r="74" spans="1:3" ht="23.5" x14ac:dyDescent="0.55000000000000004">
      <c r="A74" s="2" t="s">
        <v>21</v>
      </c>
      <c r="B74" s="20" t="s">
        <v>71</v>
      </c>
      <c r="C74" s="25" t="s">
        <v>16</v>
      </c>
    </row>
    <row r="75" spans="1:3" ht="23.5" x14ac:dyDescent="0.55000000000000004">
      <c r="A75" s="2" t="s">
        <v>21</v>
      </c>
      <c r="B75" s="20" t="s">
        <v>72</v>
      </c>
      <c r="C75" s="25" t="s">
        <v>16</v>
      </c>
    </row>
    <row r="76" spans="1:3" ht="24" thickBot="1" x14ac:dyDescent="0.6">
      <c r="A76" s="2" t="s">
        <v>21</v>
      </c>
      <c r="B76" s="20" t="s">
        <v>73</v>
      </c>
      <c r="C76" s="25" t="s">
        <v>16</v>
      </c>
    </row>
    <row r="77" spans="1:3" ht="24" thickBot="1" x14ac:dyDescent="0.6">
      <c r="A77" s="2" t="s">
        <v>21</v>
      </c>
      <c r="B77" s="17" t="s">
        <v>75</v>
      </c>
      <c r="C77" s="3" t="s">
        <v>15</v>
      </c>
    </row>
    <row r="78" spans="1:3" ht="24" thickBot="1" x14ac:dyDescent="0.6">
      <c r="A78" s="2" t="s">
        <v>21</v>
      </c>
      <c r="B78" s="17" t="s">
        <v>76</v>
      </c>
      <c r="C78" s="3" t="s">
        <v>16</v>
      </c>
    </row>
    <row r="79" spans="1:3" ht="24" thickBot="1" x14ac:dyDescent="0.6">
      <c r="A79" s="2" t="s">
        <v>21</v>
      </c>
      <c r="B79" s="17" t="s">
        <v>77</v>
      </c>
      <c r="C79" s="3" t="s">
        <v>15</v>
      </c>
    </row>
    <row r="80" spans="1:3" ht="24" thickBot="1" x14ac:dyDescent="0.6">
      <c r="A80" s="2" t="s">
        <v>21</v>
      </c>
      <c r="B80" s="17" t="s">
        <v>78</v>
      </c>
      <c r="C80" s="3" t="s">
        <v>85</v>
      </c>
    </row>
    <row r="81" spans="1:3" ht="24" thickBot="1" x14ac:dyDescent="0.6">
      <c r="A81" s="2" t="s">
        <v>21</v>
      </c>
      <c r="B81" s="17" t="s">
        <v>79</v>
      </c>
      <c r="C81" s="3" t="s">
        <v>16</v>
      </c>
    </row>
    <row r="82" spans="1:3" ht="24" thickBot="1" x14ac:dyDescent="0.6">
      <c r="A82" s="2" t="s">
        <v>21</v>
      </c>
      <c r="B82" s="17" t="s">
        <v>83</v>
      </c>
      <c r="C82" s="3" t="s">
        <v>15</v>
      </c>
    </row>
    <row r="83" spans="1:3" ht="24" thickBot="1" x14ac:dyDescent="0.6">
      <c r="A83" s="2" t="s">
        <v>21</v>
      </c>
      <c r="B83" s="17" t="s">
        <v>84</v>
      </c>
      <c r="C83" s="3" t="s">
        <v>92</v>
      </c>
    </row>
    <row r="84" spans="1:3" ht="24" thickBot="1" x14ac:dyDescent="0.6">
      <c r="A84" s="2" t="s">
        <v>22</v>
      </c>
      <c r="B84" s="17" t="s">
        <v>65</v>
      </c>
      <c r="C84" s="3" t="s">
        <v>15</v>
      </c>
    </row>
    <row r="85" spans="1:3" ht="23.5" x14ac:dyDescent="0.55000000000000004">
      <c r="A85" s="2" t="s">
        <v>22</v>
      </c>
      <c r="B85" s="19" t="s">
        <v>67</v>
      </c>
      <c r="C85" s="23" t="s">
        <v>15</v>
      </c>
    </row>
    <row r="86" spans="1:3" ht="23.5" x14ac:dyDescent="0.55000000000000004">
      <c r="A86" s="2" t="s">
        <v>22</v>
      </c>
      <c r="B86" s="20" t="s">
        <v>68</v>
      </c>
      <c r="C86" s="24" t="s">
        <v>15</v>
      </c>
    </row>
    <row r="87" spans="1:3" ht="23.5" x14ac:dyDescent="0.55000000000000004">
      <c r="A87" s="2" t="s">
        <v>22</v>
      </c>
      <c r="B87" s="20" t="s">
        <v>69</v>
      </c>
      <c r="C87" s="25" t="s">
        <v>15</v>
      </c>
    </row>
    <row r="88" spans="1:3" ht="23.5" x14ac:dyDescent="0.55000000000000004">
      <c r="A88" s="2" t="s">
        <v>22</v>
      </c>
      <c r="B88" s="20" t="s">
        <v>70</v>
      </c>
      <c r="C88" s="25" t="s">
        <v>15</v>
      </c>
    </row>
    <row r="89" spans="1:3" ht="23.5" x14ac:dyDescent="0.55000000000000004">
      <c r="A89" s="2" t="s">
        <v>22</v>
      </c>
      <c r="B89" s="20" t="s">
        <v>71</v>
      </c>
      <c r="C89" s="25" t="s">
        <v>15</v>
      </c>
    </row>
    <row r="90" spans="1:3" ht="23.5" x14ac:dyDescent="0.55000000000000004">
      <c r="A90" s="2" t="s">
        <v>22</v>
      </c>
      <c r="B90" s="20" t="s">
        <v>72</v>
      </c>
      <c r="C90" s="25" t="s">
        <v>15</v>
      </c>
    </row>
    <row r="91" spans="1:3" ht="24" thickBot="1" x14ac:dyDescent="0.6">
      <c r="A91" s="2" t="s">
        <v>22</v>
      </c>
      <c r="B91" s="20" t="s">
        <v>73</v>
      </c>
      <c r="C91" s="25" t="s">
        <v>15</v>
      </c>
    </row>
    <row r="92" spans="1:3" ht="24" thickBot="1" x14ac:dyDescent="0.6">
      <c r="A92" s="2" t="s">
        <v>22</v>
      </c>
      <c r="B92" s="17" t="s">
        <v>75</v>
      </c>
      <c r="C92" s="3" t="s">
        <v>15</v>
      </c>
    </row>
    <row r="93" spans="1:3" ht="24" thickBot="1" x14ac:dyDescent="0.6">
      <c r="A93" s="2" t="s">
        <v>22</v>
      </c>
      <c r="B93" s="17" t="s">
        <v>76</v>
      </c>
      <c r="C93" s="3" t="s">
        <v>16</v>
      </c>
    </row>
    <row r="94" spans="1:3" ht="24" thickBot="1" x14ac:dyDescent="0.6">
      <c r="A94" s="2" t="s">
        <v>22</v>
      </c>
      <c r="B94" s="17" t="s">
        <v>77</v>
      </c>
      <c r="C94" s="3" t="s">
        <v>16</v>
      </c>
    </row>
    <row r="95" spans="1:3" ht="24" thickBot="1" x14ac:dyDescent="0.6">
      <c r="A95" s="2" t="s">
        <v>22</v>
      </c>
      <c r="B95" s="17" t="s">
        <v>78</v>
      </c>
      <c r="C95" s="3" t="s">
        <v>85</v>
      </c>
    </row>
    <row r="96" spans="1:3" ht="24" thickBot="1" x14ac:dyDescent="0.6">
      <c r="A96" s="2" t="s">
        <v>22</v>
      </c>
      <c r="B96" s="17" t="s">
        <v>79</v>
      </c>
      <c r="C96" s="3" t="s">
        <v>16</v>
      </c>
    </row>
    <row r="97" spans="1:3" ht="24" thickBot="1" x14ac:dyDescent="0.6">
      <c r="A97" s="2" t="s">
        <v>22</v>
      </c>
      <c r="B97" s="17" t="s">
        <v>80</v>
      </c>
      <c r="C97" s="3">
        <v>2</v>
      </c>
    </row>
    <row r="98" spans="1:3" ht="24" thickBot="1" x14ac:dyDescent="0.6">
      <c r="A98" s="2" t="s">
        <v>22</v>
      </c>
      <c r="B98" s="17" t="s">
        <v>81</v>
      </c>
      <c r="C98" s="3" t="s">
        <v>93</v>
      </c>
    </row>
    <row r="99" spans="1:3" ht="24" thickBot="1" x14ac:dyDescent="0.6">
      <c r="A99" s="2" t="s">
        <v>22</v>
      </c>
      <c r="B99" s="17" t="s">
        <v>82</v>
      </c>
      <c r="C99" s="3" t="s">
        <v>87</v>
      </c>
    </row>
    <row r="100" spans="1:3" ht="24" thickBot="1" x14ac:dyDescent="0.6">
      <c r="A100" s="2" t="s">
        <v>22</v>
      </c>
      <c r="B100" s="17" t="s">
        <v>83</v>
      </c>
      <c r="C100" s="3" t="s">
        <v>15</v>
      </c>
    </row>
    <row r="101" spans="1:3" ht="24" thickBot="1" x14ac:dyDescent="0.6">
      <c r="A101" s="2" t="s">
        <v>22</v>
      </c>
      <c r="B101" s="17" t="s">
        <v>84</v>
      </c>
      <c r="C101" s="3" t="s">
        <v>88</v>
      </c>
    </row>
    <row r="102" spans="1:3" ht="24" thickBot="1" x14ac:dyDescent="0.6">
      <c r="A102" s="2" t="s">
        <v>23</v>
      </c>
      <c r="B102" s="17" t="s">
        <v>65</v>
      </c>
      <c r="C102" s="3" t="s">
        <v>15</v>
      </c>
    </row>
    <row r="103" spans="1:3" ht="23.5" x14ac:dyDescent="0.55000000000000004">
      <c r="A103" s="2" t="s">
        <v>23</v>
      </c>
      <c r="B103" s="19" t="s">
        <v>67</v>
      </c>
      <c r="C103" s="23" t="s">
        <v>15</v>
      </c>
    </row>
    <row r="104" spans="1:3" ht="23.5" x14ac:dyDescent="0.55000000000000004">
      <c r="A104" s="2" t="s">
        <v>23</v>
      </c>
      <c r="B104" s="20" t="s">
        <v>68</v>
      </c>
      <c r="C104" s="24" t="s">
        <v>15</v>
      </c>
    </row>
    <row r="105" spans="1:3" ht="23.5" x14ac:dyDescent="0.55000000000000004">
      <c r="A105" s="2" t="s">
        <v>23</v>
      </c>
      <c r="B105" s="20" t="s">
        <v>69</v>
      </c>
      <c r="C105" s="25" t="s">
        <v>15</v>
      </c>
    </row>
    <row r="106" spans="1:3" ht="23.5" x14ac:dyDescent="0.55000000000000004">
      <c r="A106" s="2" t="s">
        <v>23</v>
      </c>
      <c r="B106" s="20" t="s">
        <v>70</v>
      </c>
      <c r="C106" s="25" t="s">
        <v>15</v>
      </c>
    </row>
    <row r="107" spans="1:3" ht="23.5" x14ac:dyDescent="0.55000000000000004">
      <c r="A107" s="2" t="s">
        <v>23</v>
      </c>
      <c r="B107" s="20" t="s">
        <v>71</v>
      </c>
      <c r="C107" s="25" t="s">
        <v>16</v>
      </c>
    </row>
    <row r="108" spans="1:3" ht="23.5" x14ac:dyDescent="0.55000000000000004">
      <c r="A108" s="2" t="s">
        <v>23</v>
      </c>
      <c r="B108" s="20" t="s">
        <v>72</v>
      </c>
      <c r="C108" s="25" t="s">
        <v>16</v>
      </c>
    </row>
    <row r="109" spans="1:3" ht="23.5" x14ac:dyDescent="0.55000000000000004">
      <c r="A109" s="2" t="s">
        <v>23</v>
      </c>
      <c r="B109" s="20" t="s">
        <v>73</v>
      </c>
      <c r="C109" s="25" t="s">
        <v>16</v>
      </c>
    </row>
    <row r="110" spans="1:3" ht="24" thickBot="1" x14ac:dyDescent="0.6">
      <c r="A110" s="2" t="s">
        <v>23</v>
      </c>
      <c r="B110" s="20" t="s">
        <v>74</v>
      </c>
      <c r="C110" s="24" t="s">
        <v>16</v>
      </c>
    </row>
    <row r="111" spans="1:3" ht="24" thickBot="1" x14ac:dyDescent="0.6">
      <c r="A111" s="2" t="s">
        <v>23</v>
      </c>
      <c r="B111" s="17" t="s">
        <v>77</v>
      </c>
      <c r="C111" s="3" t="s">
        <v>15</v>
      </c>
    </row>
    <row r="112" spans="1:3" ht="24" thickBot="1" x14ac:dyDescent="0.6">
      <c r="A112" s="2" t="s">
        <v>23</v>
      </c>
      <c r="B112" s="17" t="s">
        <v>78</v>
      </c>
      <c r="C112" s="3" t="s">
        <v>15</v>
      </c>
    </row>
    <row r="113" spans="1:3" ht="24" thickBot="1" x14ac:dyDescent="0.6">
      <c r="A113" s="2" t="s">
        <v>23</v>
      </c>
      <c r="B113" s="17" t="s">
        <v>79</v>
      </c>
      <c r="C113" s="3" t="s">
        <v>15</v>
      </c>
    </row>
    <row r="114" spans="1:3" ht="24" thickBot="1" x14ac:dyDescent="0.6">
      <c r="A114" s="2" t="s">
        <v>23</v>
      </c>
      <c r="B114" s="17" t="s">
        <v>80</v>
      </c>
      <c r="C114" s="3">
        <v>1</v>
      </c>
    </row>
    <row r="115" spans="1:3" ht="24" thickBot="1" x14ac:dyDescent="0.6">
      <c r="A115" s="2" t="s">
        <v>23</v>
      </c>
      <c r="B115" s="17" t="s">
        <v>81</v>
      </c>
      <c r="C115" s="3" t="s">
        <v>91</v>
      </c>
    </row>
    <row r="116" spans="1:3" ht="24" thickBot="1" x14ac:dyDescent="0.6">
      <c r="A116" s="2" t="s">
        <v>23</v>
      </c>
      <c r="B116" s="17" t="s">
        <v>83</v>
      </c>
      <c r="C116" s="3" t="s">
        <v>15</v>
      </c>
    </row>
    <row r="117" spans="1:3" ht="24" thickBot="1" x14ac:dyDescent="0.6">
      <c r="A117" s="2" t="s">
        <v>23</v>
      </c>
      <c r="B117" s="17" t="s">
        <v>84</v>
      </c>
      <c r="C117" s="3" t="s">
        <v>89</v>
      </c>
    </row>
    <row r="118" spans="1:3" ht="24" thickBot="1" x14ac:dyDescent="0.6">
      <c r="A118" s="2" t="s">
        <v>24</v>
      </c>
      <c r="B118" s="17" t="s">
        <v>65</v>
      </c>
      <c r="C118" s="3" t="s">
        <v>15</v>
      </c>
    </row>
    <row r="119" spans="1:3" ht="23.5" x14ac:dyDescent="0.55000000000000004">
      <c r="A119" s="2" t="s">
        <v>24</v>
      </c>
      <c r="B119" s="19" t="s">
        <v>67</v>
      </c>
      <c r="C119" s="23" t="s">
        <v>15</v>
      </c>
    </row>
    <row r="120" spans="1:3" ht="23.5" x14ac:dyDescent="0.55000000000000004">
      <c r="A120" s="2" t="s">
        <v>24</v>
      </c>
      <c r="B120" s="20" t="s">
        <v>68</v>
      </c>
      <c r="C120" s="24" t="s">
        <v>15</v>
      </c>
    </row>
    <row r="121" spans="1:3" ht="23.5" x14ac:dyDescent="0.55000000000000004">
      <c r="A121" s="2" t="s">
        <v>24</v>
      </c>
      <c r="B121" s="20" t="s">
        <v>69</v>
      </c>
      <c r="C121" s="25" t="s">
        <v>15</v>
      </c>
    </row>
    <row r="122" spans="1:3" ht="23.5" x14ac:dyDescent="0.55000000000000004">
      <c r="A122" s="2" t="s">
        <v>24</v>
      </c>
      <c r="B122" s="20" t="s">
        <v>70</v>
      </c>
      <c r="C122" s="25" t="s">
        <v>16</v>
      </c>
    </row>
    <row r="123" spans="1:3" ht="23.5" x14ac:dyDescent="0.55000000000000004">
      <c r="A123" s="2" t="s">
        <v>24</v>
      </c>
      <c r="B123" s="20" t="s">
        <v>71</v>
      </c>
      <c r="C123" s="25" t="s">
        <v>15</v>
      </c>
    </row>
    <row r="124" spans="1:3" ht="23.5" x14ac:dyDescent="0.55000000000000004">
      <c r="A124" s="2" t="s">
        <v>24</v>
      </c>
      <c r="B124" s="20" t="s">
        <v>72</v>
      </c>
      <c r="C124" s="25" t="s">
        <v>15</v>
      </c>
    </row>
    <row r="125" spans="1:3" ht="24" thickBot="1" x14ac:dyDescent="0.6">
      <c r="A125" s="2" t="s">
        <v>24</v>
      </c>
      <c r="B125" s="20" t="s">
        <v>73</v>
      </c>
      <c r="C125" s="25" t="s">
        <v>15</v>
      </c>
    </row>
    <row r="126" spans="1:3" ht="24" thickBot="1" x14ac:dyDescent="0.6">
      <c r="A126" s="2" t="s">
        <v>24</v>
      </c>
      <c r="B126" s="17" t="s">
        <v>75</v>
      </c>
      <c r="C126" s="3" t="s">
        <v>15</v>
      </c>
    </row>
    <row r="127" spans="1:3" ht="24" thickBot="1" x14ac:dyDescent="0.6">
      <c r="A127" s="2" t="s">
        <v>24</v>
      </c>
      <c r="B127" s="17" t="s">
        <v>76</v>
      </c>
      <c r="C127" s="3" t="s">
        <v>15</v>
      </c>
    </row>
    <row r="128" spans="1:3" ht="24" thickBot="1" x14ac:dyDescent="0.6">
      <c r="A128" s="2" t="s">
        <v>24</v>
      </c>
      <c r="B128" s="17" t="s">
        <v>78</v>
      </c>
      <c r="C128" s="3" t="s">
        <v>16</v>
      </c>
    </row>
    <row r="129" spans="1:3" ht="24" thickBot="1" x14ac:dyDescent="0.6">
      <c r="A129" s="2" t="s">
        <v>24</v>
      </c>
      <c r="B129" s="17" t="s">
        <v>79</v>
      </c>
      <c r="C129" s="3" t="s">
        <v>15</v>
      </c>
    </row>
    <row r="130" spans="1:3" ht="24" thickBot="1" x14ac:dyDescent="0.6">
      <c r="A130" s="2" t="s">
        <v>25</v>
      </c>
      <c r="B130" s="17" t="s">
        <v>65</v>
      </c>
      <c r="C130" s="3" t="s">
        <v>15</v>
      </c>
    </row>
    <row r="131" spans="1:3" ht="23.5" x14ac:dyDescent="0.55000000000000004">
      <c r="A131" s="2" t="s">
        <v>25</v>
      </c>
      <c r="B131" s="19" t="s">
        <v>67</v>
      </c>
      <c r="C131" s="23" t="s">
        <v>15</v>
      </c>
    </row>
    <row r="132" spans="1:3" ht="23.5" x14ac:dyDescent="0.55000000000000004">
      <c r="A132" s="2" t="s">
        <v>25</v>
      </c>
      <c r="B132" s="20" t="s">
        <v>68</v>
      </c>
      <c r="C132" s="24" t="s">
        <v>15</v>
      </c>
    </row>
    <row r="133" spans="1:3" ht="23.5" x14ac:dyDescent="0.55000000000000004">
      <c r="A133" s="2" t="s">
        <v>25</v>
      </c>
      <c r="B133" s="20" t="s">
        <v>69</v>
      </c>
      <c r="C133" s="25" t="s">
        <v>15</v>
      </c>
    </row>
    <row r="134" spans="1:3" ht="23.5" x14ac:dyDescent="0.55000000000000004">
      <c r="A134" s="2" t="s">
        <v>25</v>
      </c>
      <c r="B134" s="20" t="s">
        <v>70</v>
      </c>
      <c r="C134" s="25" t="s">
        <v>15</v>
      </c>
    </row>
    <row r="135" spans="1:3" ht="23.5" x14ac:dyDescent="0.55000000000000004">
      <c r="A135" s="2" t="s">
        <v>25</v>
      </c>
      <c r="B135" s="20" t="s">
        <v>71</v>
      </c>
      <c r="C135" s="25" t="s">
        <v>15</v>
      </c>
    </row>
    <row r="136" spans="1:3" ht="23.5" x14ac:dyDescent="0.55000000000000004">
      <c r="A136" s="2" t="s">
        <v>25</v>
      </c>
      <c r="B136" s="20" t="s">
        <v>72</v>
      </c>
      <c r="C136" s="25" t="s">
        <v>15</v>
      </c>
    </row>
    <row r="137" spans="1:3" ht="24" thickBot="1" x14ac:dyDescent="0.6">
      <c r="A137" s="2" t="s">
        <v>25</v>
      </c>
      <c r="B137" s="20" t="s">
        <v>73</v>
      </c>
      <c r="C137" s="25" t="s">
        <v>15</v>
      </c>
    </row>
    <row r="138" spans="1:3" ht="24" thickBot="1" x14ac:dyDescent="0.6">
      <c r="A138" s="2" t="s">
        <v>25</v>
      </c>
      <c r="B138" s="17" t="s">
        <v>75</v>
      </c>
      <c r="C138" s="3" t="s">
        <v>15</v>
      </c>
    </row>
    <row r="139" spans="1:3" ht="24" thickBot="1" x14ac:dyDescent="0.6">
      <c r="A139" s="2" t="s">
        <v>25</v>
      </c>
      <c r="B139" s="17" t="s">
        <v>76</v>
      </c>
      <c r="C139" s="3" t="s">
        <v>15</v>
      </c>
    </row>
    <row r="140" spans="1:3" ht="24" thickBot="1" x14ac:dyDescent="0.6">
      <c r="A140" s="2" t="s">
        <v>25</v>
      </c>
      <c r="B140" s="17" t="s">
        <v>77</v>
      </c>
      <c r="C140" s="3" t="s">
        <v>16</v>
      </c>
    </row>
    <row r="141" spans="1:3" ht="24" thickBot="1" x14ac:dyDescent="0.6">
      <c r="A141" s="2" t="s">
        <v>25</v>
      </c>
      <c r="B141" s="17" t="s">
        <v>78</v>
      </c>
      <c r="C141" s="3" t="s">
        <v>16</v>
      </c>
    </row>
    <row r="142" spans="1:3" ht="24" thickBot="1" x14ac:dyDescent="0.6">
      <c r="A142" s="2" t="s">
        <v>25</v>
      </c>
      <c r="B142" s="17" t="s">
        <v>79</v>
      </c>
      <c r="C142" s="3" t="s">
        <v>16</v>
      </c>
    </row>
    <row r="143" spans="1:3" ht="24" thickBot="1" x14ac:dyDescent="0.6">
      <c r="A143" s="2" t="s">
        <v>25</v>
      </c>
      <c r="B143" s="17" t="s">
        <v>80</v>
      </c>
      <c r="C143" s="3">
        <v>1</v>
      </c>
    </row>
    <row r="144" spans="1:3" ht="24" thickBot="1" x14ac:dyDescent="0.6">
      <c r="A144" s="2" t="s">
        <v>25</v>
      </c>
      <c r="B144" s="17" t="s">
        <v>81</v>
      </c>
      <c r="C144" s="3" t="s">
        <v>86</v>
      </c>
    </row>
    <row r="145" spans="1:3" ht="24" thickBot="1" x14ac:dyDescent="0.6">
      <c r="A145" s="2" t="s">
        <v>25</v>
      </c>
      <c r="B145" s="17" t="s">
        <v>82</v>
      </c>
      <c r="C145" s="3" t="s">
        <v>87</v>
      </c>
    </row>
    <row r="146" spans="1:3" ht="24" thickBot="1" x14ac:dyDescent="0.6">
      <c r="A146" s="2" t="s">
        <v>25</v>
      </c>
      <c r="B146" s="17" t="s">
        <v>83</v>
      </c>
      <c r="C146" s="3" t="s">
        <v>16</v>
      </c>
    </row>
    <row r="147" spans="1:3" ht="24" thickBot="1" x14ac:dyDescent="0.6">
      <c r="A147" s="2" t="s">
        <v>25</v>
      </c>
      <c r="B147" s="17" t="s">
        <v>84</v>
      </c>
      <c r="C147" s="3" t="s">
        <v>88</v>
      </c>
    </row>
    <row r="148" spans="1:3" ht="24" thickBot="1" x14ac:dyDescent="0.6">
      <c r="A148" s="2" t="s">
        <v>26</v>
      </c>
      <c r="B148" s="17" t="s">
        <v>65</v>
      </c>
      <c r="C148" s="3" t="s">
        <v>15</v>
      </c>
    </row>
    <row r="149" spans="1:3" ht="23.5" x14ac:dyDescent="0.55000000000000004">
      <c r="A149" s="2" t="s">
        <v>26</v>
      </c>
      <c r="B149" s="19" t="s">
        <v>67</v>
      </c>
      <c r="C149" s="23" t="s">
        <v>15</v>
      </c>
    </row>
    <row r="150" spans="1:3" ht="23.5" x14ac:dyDescent="0.55000000000000004">
      <c r="A150" s="2" t="s">
        <v>26</v>
      </c>
      <c r="B150" s="20" t="s">
        <v>68</v>
      </c>
      <c r="C150" s="24" t="s">
        <v>15</v>
      </c>
    </row>
    <row r="151" spans="1:3" ht="23.5" x14ac:dyDescent="0.55000000000000004">
      <c r="A151" s="2" t="s">
        <v>26</v>
      </c>
      <c r="B151" s="20" t="s">
        <v>69</v>
      </c>
      <c r="C151" s="25" t="s">
        <v>15</v>
      </c>
    </row>
    <row r="152" spans="1:3" ht="23.5" x14ac:dyDescent="0.55000000000000004">
      <c r="A152" s="2" t="s">
        <v>26</v>
      </c>
      <c r="B152" s="20" t="s">
        <v>70</v>
      </c>
      <c r="C152" s="25" t="s">
        <v>15</v>
      </c>
    </row>
    <row r="153" spans="1:3" ht="23.5" x14ac:dyDescent="0.55000000000000004">
      <c r="A153" s="2" t="s">
        <v>26</v>
      </c>
      <c r="B153" s="20" t="s">
        <v>71</v>
      </c>
      <c r="C153" s="25" t="s">
        <v>15</v>
      </c>
    </row>
    <row r="154" spans="1:3" ht="23.5" x14ac:dyDescent="0.55000000000000004">
      <c r="A154" s="2" t="s">
        <v>26</v>
      </c>
      <c r="B154" s="20" t="s">
        <v>72</v>
      </c>
      <c r="C154" s="25" t="s">
        <v>15</v>
      </c>
    </row>
    <row r="155" spans="1:3" ht="24" thickBot="1" x14ac:dyDescent="0.6">
      <c r="A155" s="2" t="s">
        <v>26</v>
      </c>
      <c r="B155" s="20" t="s">
        <v>73</v>
      </c>
      <c r="C155" s="25" t="s">
        <v>15</v>
      </c>
    </row>
    <row r="156" spans="1:3" ht="24" thickBot="1" x14ac:dyDescent="0.6">
      <c r="A156" s="2" t="s">
        <v>26</v>
      </c>
      <c r="B156" s="17" t="s">
        <v>75</v>
      </c>
      <c r="C156" s="3" t="s">
        <v>15</v>
      </c>
    </row>
    <row r="157" spans="1:3" ht="24" thickBot="1" x14ac:dyDescent="0.6">
      <c r="A157" s="2" t="s">
        <v>26</v>
      </c>
      <c r="B157" s="17" t="s">
        <v>76</v>
      </c>
      <c r="C157" s="3" t="s">
        <v>15</v>
      </c>
    </row>
    <row r="158" spans="1:3" ht="24" thickBot="1" x14ac:dyDescent="0.6">
      <c r="A158" s="2" t="s">
        <v>26</v>
      </c>
      <c r="B158" s="17" t="s">
        <v>77</v>
      </c>
      <c r="C158" s="3" t="s">
        <v>15</v>
      </c>
    </row>
    <row r="159" spans="1:3" ht="24" thickBot="1" x14ac:dyDescent="0.6">
      <c r="A159" s="2" t="s">
        <v>26</v>
      </c>
      <c r="B159" s="17" t="s">
        <v>78</v>
      </c>
      <c r="C159" s="3" t="s">
        <v>15</v>
      </c>
    </row>
    <row r="160" spans="1:3" ht="24" thickBot="1" x14ac:dyDescent="0.6">
      <c r="A160" s="2" t="s">
        <v>26</v>
      </c>
      <c r="B160" s="17" t="s">
        <v>79</v>
      </c>
      <c r="C160" s="3" t="s">
        <v>15</v>
      </c>
    </row>
    <row r="161" spans="1:3" ht="24" thickBot="1" x14ac:dyDescent="0.6">
      <c r="A161" s="2" t="s">
        <v>26</v>
      </c>
      <c r="B161" s="17" t="s">
        <v>80</v>
      </c>
      <c r="C161" s="3">
        <v>0</v>
      </c>
    </row>
    <row r="162" spans="1:3" ht="24" thickBot="1" x14ac:dyDescent="0.6">
      <c r="A162" s="2" t="s">
        <v>26</v>
      </c>
      <c r="B162" s="17" t="s">
        <v>83</v>
      </c>
      <c r="C162" s="3" t="s">
        <v>15</v>
      </c>
    </row>
    <row r="163" spans="1:3" ht="24" thickBot="1" x14ac:dyDescent="0.6">
      <c r="A163" s="2" t="s">
        <v>94</v>
      </c>
      <c r="B163" s="17" t="s">
        <v>65</v>
      </c>
      <c r="C163" s="3" t="s">
        <v>15</v>
      </c>
    </row>
    <row r="164" spans="1:3" ht="23.5" x14ac:dyDescent="0.55000000000000004">
      <c r="A164" s="2" t="s">
        <v>94</v>
      </c>
      <c r="B164" s="19" t="s">
        <v>67</v>
      </c>
      <c r="C164" s="23" t="s">
        <v>15</v>
      </c>
    </row>
    <row r="165" spans="1:3" ht="23.5" x14ac:dyDescent="0.55000000000000004">
      <c r="A165" s="2" t="s">
        <v>94</v>
      </c>
      <c r="B165" s="20" t="s">
        <v>68</v>
      </c>
      <c r="C165" s="24" t="s">
        <v>15</v>
      </c>
    </row>
    <row r="166" spans="1:3" ht="23.5" x14ac:dyDescent="0.55000000000000004">
      <c r="A166" s="2" t="s">
        <v>94</v>
      </c>
      <c r="B166" s="20" t="s">
        <v>69</v>
      </c>
      <c r="C166" s="25" t="s">
        <v>15</v>
      </c>
    </row>
    <row r="167" spans="1:3" ht="23.5" x14ac:dyDescent="0.55000000000000004">
      <c r="A167" s="2" t="s">
        <v>94</v>
      </c>
      <c r="B167" s="20" t="s">
        <v>70</v>
      </c>
      <c r="C167" s="25" t="s">
        <v>15</v>
      </c>
    </row>
    <row r="168" spans="1:3" ht="23.5" x14ac:dyDescent="0.55000000000000004">
      <c r="A168" s="2" t="s">
        <v>94</v>
      </c>
      <c r="B168" s="20" t="s">
        <v>71</v>
      </c>
      <c r="C168" s="25" t="s">
        <v>15</v>
      </c>
    </row>
    <row r="169" spans="1:3" ht="23.5" x14ac:dyDescent="0.55000000000000004">
      <c r="A169" s="2" t="s">
        <v>94</v>
      </c>
      <c r="B169" s="20" t="s">
        <v>72</v>
      </c>
      <c r="C169" s="25" t="s">
        <v>15</v>
      </c>
    </row>
    <row r="170" spans="1:3" ht="24" thickBot="1" x14ac:dyDescent="0.6">
      <c r="A170" s="2" t="s">
        <v>94</v>
      </c>
      <c r="B170" s="20" t="s">
        <v>73</v>
      </c>
      <c r="C170" s="25" t="s">
        <v>15</v>
      </c>
    </row>
    <row r="171" spans="1:3" ht="24" thickBot="1" x14ac:dyDescent="0.6">
      <c r="A171" s="2" t="s">
        <v>94</v>
      </c>
      <c r="B171" s="17" t="s">
        <v>75</v>
      </c>
      <c r="C171" s="3" t="s">
        <v>15</v>
      </c>
    </row>
    <row r="172" spans="1:3" ht="24" thickBot="1" x14ac:dyDescent="0.6">
      <c r="A172" s="2" t="s">
        <v>94</v>
      </c>
      <c r="B172" s="17" t="s">
        <v>76</v>
      </c>
      <c r="C172" s="3" t="s">
        <v>15</v>
      </c>
    </row>
    <row r="173" spans="1:3" ht="24" thickBot="1" x14ac:dyDescent="0.6">
      <c r="A173" s="2" t="s">
        <v>94</v>
      </c>
      <c r="B173" s="17" t="s">
        <v>77</v>
      </c>
      <c r="C173" s="3" t="s">
        <v>15</v>
      </c>
    </row>
    <row r="174" spans="1:3" ht="24" thickBot="1" x14ac:dyDescent="0.6">
      <c r="A174" s="2" t="s">
        <v>94</v>
      </c>
      <c r="B174" s="17" t="s">
        <v>78</v>
      </c>
      <c r="C174" s="3" t="s">
        <v>20</v>
      </c>
    </row>
    <row r="175" spans="1:3" ht="24" thickBot="1" x14ac:dyDescent="0.6">
      <c r="A175" s="2" t="s">
        <v>94</v>
      </c>
      <c r="B175" s="17" t="s">
        <v>79</v>
      </c>
      <c r="C175" s="3" t="s">
        <v>16</v>
      </c>
    </row>
    <row r="176" spans="1:3" ht="24" thickBot="1" x14ac:dyDescent="0.6">
      <c r="A176" s="2" t="s">
        <v>94</v>
      </c>
      <c r="B176" s="17" t="s">
        <v>83</v>
      </c>
      <c r="C176" s="3" t="s">
        <v>15</v>
      </c>
    </row>
    <row r="177" spans="1:3" ht="24" thickBot="1" x14ac:dyDescent="0.6">
      <c r="A177" s="2" t="s">
        <v>94</v>
      </c>
      <c r="B177" s="17" t="s">
        <v>84</v>
      </c>
      <c r="C177" s="3" t="s">
        <v>89</v>
      </c>
    </row>
    <row r="178" spans="1:3" ht="24" thickBot="1" x14ac:dyDescent="0.6">
      <c r="A178" s="2" t="s">
        <v>28</v>
      </c>
      <c r="B178" s="17" t="s">
        <v>65</v>
      </c>
      <c r="C178" s="3" t="s">
        <v>15</v>
      </c>
    </row>
    <row r="179" spans="1:3" ht="23.5" x14ac:dyDescent="0.55000000000000004">
      <c r="A179" s="2" t="s">
        <v>28</v>
      </c>
      <c r="B179" s="19" t="s">
        <v>67</v>
      </c>
      <c r="C179" s="23" t="s">
        <v>15</v>
      </c>
    </row>
    <row r="180" spans="1:3" ht="23.5" x14ac:dyDescent="0.55000000000000004">
      <c r="A180" s="2" t="s">
        <v>28</v>
      </c>
      <c r="B180" s="20" t="s">
        <v>68</v>
      </c>
      <c r="C180" s="24" t="s">
        <v>15</v>
      </c>
    </row>
    <row r="181" spans="1:3" ht="23.5" x14ac:dyDescent="0.55000000000000004">
      <c r="A181" s="2" t="s">
        <v>28</v>
      </c>
      <c r="B181" s="20" t="s">
        <v>69</v>
      </c>
      <c r="C181" s="25" t="s">
        <v>15</v>
      </c>
    </row>
    <row r="182" spans="1:3" ht="23.5" x14ac:dyDescent="0.55000000000000004">
      <c r="A182" s="2" t="s">
        <v>28</v>
      </c>
      <c r="B182" s="20" t="s">
        <v>70</v>
      </c>
      <c r="C182" s="25" t="s">
        <v>15</v>
      </c>
    </row>
    <row r="183" spans="1:3" ht="23.5" x14ac:dyDescent="0.55000000000000004">
      <c r="A183" s="2" t="s">
        <v>28</v>
      </c>
      <c r="B183" s="20" t="s">
        <v>71</v>
      </c>
      <c r="C183" s="25" t="s">
        <v>15</v>
      </c>
    </row>
    <row r="184" spans="1:3" ht="23.5" x14ac:dyDescent="0.55000000000000004">
      <c r="A184" s="2" t="s">
        <v>28</v>
      </c>
      <c r="B184" s="20" t="s">
        <v>72</v>
      </c>
      <c r="C184" s="25" t="s">
        <v>15</v>
      </c>
    </row>
    <row r="185" spans="1:3" ht="24" thickBot="1" x14ac:dyDescent="0.6">
      <c r="A185" s="2" t="s">
        <v>28</v>
      </c>
      <c r="B185" s="20" t="s">
        <v>73</v>
      </c>
      <c r="C185" s="25" t="s">
        <v>15</v>
      </c>
    </row>
    <row r="186" spans="1:3" ht="24" thickBot="1" x14ac:dyDescent="0.6">
      <c r="A186" s="2" t="s">
        <v>28</v>
      </c>
      <c r="B186" s="17" t="s">
        <v>75</v>
      </c>
      <c r="C186" s="3" t="s">
        <v>15</v>
      </c>
    </row>
    <row r="187" spans="1:3" ht="24" thickBot="1" x14ac:dyDescent="0.6">
      <c r="A187" s="2" t="s">
        <v>28</v>
      </c>
      <c r="B187" s="17" t="s">
        <v>76</v>
      </c>
      <c r="C187" s="3" t="s">
        <v>16</v>
      </c>
    </row>
    <row r="188" spans="1:3" ht="24" thickBot="1" x14ac:dyDescent="0.6">
      <c r="A188" s="2" t="s">
        <v>28</v>
      </c>
      <c r="B188" s="17" t="s">
        <v>77</v>
      </c>
      <c r="C188" s="3" t="s">
        <v>16</v>
      </c>
    </row>
    <row r="189" spans="1:3" ht="24" thickBot="1" x14ac:dyDescent="0.6">
      <c r="A189" s="2" t="s">
        <v>28</v>
      </c>
      <c r="B189" s="17" t="s">
        <v>78</v>
      </c>
      <c r="C189" s="3" t="s">
        <v>16</v>
      </c>
    </row>
    <row r="190" spans="1:3" ht="24" thickBot="1" x14ac:dyDescent="0.6">
      <c r="A190" s="2" t="s">
        <v>28</v>
      </c>
      <c r="B190" s="17" t="s">
        <v>79</v>
      </c>
      <c r="C190" s="3" t="s">
        <v>16</v>
      </c>
    </row>
    <row r="191" spans="1:3" ht="23.5" x14ac:dyDescent="0.55000000000000004">
      <c r="A191" s="2" t="s">
        <v>29</v>
      </c>
      <c r="B191" s="19" t="s">
        <v>67</v>
      </c>
      <c r="C191" s="23" t="s">
        <v>15</v>
      </c>
    </row>
    <row r="192" spans="1:3" ht="23.5" x14ac:dyDescent="0.55000000000000004">
      <c r="A192" s="2" t="s">
        <v>29</v>
      </c>
      <c r="B192" s="20" t="s">
        <v>68</v>
      </c>
      <c r="C192" s="24" t="s">
        <v>15</v>
      </c>
    </row>
    <row r="193" spans="1:3" ht="23.5" x14ac:dyDescent="0.55000000000000004">
      <c r="A193" s="2" t="s">
        <v>29</v>
      </c>
      <c r="B193" s="20" t="s">
        <v>69</v>
      </c>
      <c r="C193" s="25" t="s">
        <v>15</v>
      </c>
    </row>
    <row r="194" spans="1:3" ht="23.5" x14ac:dyDescent="0.55000000000000004">
      <c r="A194" s="2" t="s">
        <v>29</v>
      </c>
      <c r="B194" s="20" t="s">
        <v>70</v>
      </c>
      <c r="C194" s="25" t="s">
        <v>15</v>
      </c>
    </row>
    <row r="195" spans="1:3" ht="23.5" x14ac:dyDescent="0.55000000000000004">
      <c r="A195" s="2" t="s">
        <v>29</v>
      </c>
      <c r="B195" s="20" t="s">
        <v>71</v>
      </c>
      <c r="C195" s="25" t="s">
        <v>15</v>
      </c>
    </row>
    <row r="196" spans="1:3" ht="23.5" x14ac:dyDescent="0.55000000000000004">
      <c r="A196" s="2" t="s">
        <v>29</v>
      </c>
      <c r="B196" s="20" t="s">
        <v>72</v>
      </c>
      <c r="C196" s="25" t="s">
        <v>15</v>
      </c>
    </row>
    <row r="197" spans="1:3" ht="24" thickBot="1" x14ac:dyDescent="0.6">
      <c r="A197" s="2" t="s">
        <v>29</v>
      </c>
      <c r="B197" s="20" t="s">
        <v>73</v>
      </c>
      <c r="C197" s="25" t="s">
        <v>15</v>
      </c>
    </row>
    <row r="198" spans="1:3" ht="24" thickBot="1" x14ac:dyDescent="0.6">
      <c r="A198" s="2" t="s">
        <v>29</v>
      </c>
      <c r="B198" s="17" t="s">
        <v>75</v>
      </c>
      <c r="C198" s="3" t="s">
        <v>15</v>
      </c>
    </row>
    <row r="199" spans="1:3" ht="24" thickBot="1" x14ac:dyDescent="0.6">
      <c r="A199" s="2" t="s">
        <v>29</v>
      </c>
      <c r="B199" s="17" t="s">
        <v>76</v>
      </c>
      <c r="C199" s="3" t="s">
        <v>85</v>
      </c>
    </row>
    <row r="200" spans="1:3" ht="24" thickBot="1" x14ac:dyDescent="0.6">
      <c r="A200" s="2" t="s">
        <v>29</v>
      </c>
      <c r="B200" s="17" t="s">
        <v>77</v>
      </c>
      <c r="C200" s="3" t="s">
        <v>16</v>
      </c>
    </row>
    <row r="201" spans="1:3" ht="24" thickBot="1" x14ac:dyDescent="0.6">
      <c r="A201" s="2" t="s">
        <v>29</v>
      </c>
      <c r="B201" s="17" t="s">
        <v>78</v>
      </c>
      <c r="C201" s="3" t="s">
        <v>16</v>
      </c>
    </row>
    <row r="202" spans="1:3" ht="24" thickBot="1" x14ac:dyDescent="0.6">
      <c r="A202" s="2" t="s">
        <v>29</v>
      </c>
      <c r="B202" s="17" t="s">
        <v>79</v>
      </c>
      <c r="C202" s="3" t="s">
        <v>15</v>
      </c>
    </row>
    <row r="203" spans="1:3" ht="24" thickBot="1" x14ac:dyDescent="0.6">
      <c r="A203" s="2" t="s">
        <v>29</v>
      </c>
      <c r="B203" s="17" t="s">
        <v>80</v>
      </c>
      <c r="C203" s="3">
        <v>0</v>
      </c>
    </row>
    <row r="204" spans="1:3" ht="23.5" x14ac:dyDescent="0.55000000000000004">
      <c r="A204" s="2" t="s">
        <v>30</v>
      </c>
      <c r="B204" s="19" t="s">
        <v>67</v>
      </c>
      <c r="C204" s="23" t="s">
        <v>15</v>
      </c>
    </row>
    <row r="205" spans="1:3" ht="23.5" x14ac:dyDescent="0.55000000000000004">
      <c r="A205" s="2" t="s">
        <v>30</v>
      </c>
      <c r="B205" s="20" t="s">
        <v>68</v>
      </c>
      <c r="C205" s="24" t="s">
        <v>15</v>
      </c>
    </row>
    <row r="206" spans="1:3" ht="23.5" x14ac:dyDescent="0.55000000000000004">
      <c r="A206" s="2" t="s">
        <v>30</v>
      </c>
      <c r="B206" s="20" t="s">
        <v>69</v>
      </c>
      <c r="C206" s="25" t="s">
        <v>16</v>
      </c>
    </row>
    <row r="207" spans="1:3" ht="23.5" x14ac:dyDescent="0.55000000000000004">
      <c r="A207" s="2" t="s">
        <v>30</v>
      </c>
      <c r="B207" s="20" t="s">
        <v>70</v>
      </c>
      <c r="C207" s="25" t="s">
        <v>15</v>
      </c>
    </row>
    <row r="208" spans="1:3" ht="23.5" x14ac:dyDescent="0.55000000000000004">
      <c r="A208" s="2" t="s">
        <v>30</v>
      </c>
      <c r="B208" s="20" t="s">
        <v>71</v>
      </c>
      <c r="C208" s="25" t="s">
        <v>15</v>
      </c>
    </row>
    <row r="209" spans="1:3" ht="23.5" x14ac:dyDescent="0.55000000000000004">
      <c r="A209" s="2" t="s">
        <v>30</v>
      </c>
      <c r="B209" s="20" t="s">
        <v>72</v>
      </c>
      <c r="C209" s="25" t="s">
        <v>15</v>
      </c>
    </row>
    <row r="210" spans="1:3" ht="24" thickBot="1" x14ac:dyDescent="0.6">
      <c r="A210" s="2" t="s">
        <v>30</v>
      </c>
      <c r="B210" s="20" t="s">
        <v>73</v>
      </c>
      <c r="C210" s="25" t="s">
        <v>15</v>
      </c>
    </row>
    <row r="211" spans="1:3" ht="24" thickBot="1" x14ac:dyDescent="0.6">
      <c r="A211" s="2" t="s">
        <v>30</v>
      </c>
      <c r="B211" s="17" t="s">
        <v>75</v>
      </c>
      <c r="C211" s="3" t="s">
        <v>15</v>
      </c>
    </row>
    <row r="212" spans="1:3" ht="24" thickBot="1" x14ac:dyDescent="0.6">
      <c r="A212" s="2" t="s">
        <v>30</v>
      </c>
      <c r="B212" s="17" t="s">
        <v>76</v>
      </c>
      <c r="C212" s="3" t="s">
        <v>16</v>
      </c>
    </row>
    <row r="213" spans="1:3" ht="24" thickBot="1" x14ac:dyDescent="0.6">
      <c r="A213" s="2" t="s">
        <v>30</v>
      </c>
      <c r="B213" s="17" t="s">
        <v>77</v>
      </c>
      <c r="C213" s="3" t="s">
        <v>15</v>
      </c>
    </row>
    <row r="214" spans="1:3" ht="24" thickBot="1" x14ac:dyDescent="0.6">
      <c r="A214" s="2" t="s">
        <v>30</v>
      </c>
      <c r="B214" s="17" t="s">
        <v>78</v>
      </c>
      <c r="C214" s="3" t="s">
        <v>15</v>
      </c>
    </row>
    <row r="215" spans="1:3" ht="24" thickBot="1" x14ac:dyDescent="0.6">
      <c r="A215" s="2" t="s">
        <v>30</v>
      </c>
      <c r="B215" s="17" t="s">
        <v>79</v>
      </c>
      <c r="C215" s="3" t="s">
        <v>16</v>
      </c>
    </row>
    <row r="216" spans="1:3" ht="24" thickBot="1" x14ac:dyDescent="0.6">
      <c r="A216" s="2" t="s">
        <v>30</v>
      </c>
      <c r="B216" s="17" t="s">
        <v>80</v>
      </c>
      <c r="C216" s="3">
        <v>7</v>
      </c>
    </row>
    <row r="217" spans="1:3" ht="24" thickBot="1" x14ac:dyDescent="0.6">
      <c r="A217" s="2" t="s">
        <v>30</v>
      </c>
      <c r="B217" s="17" t="s">
        <v>81</v>
      </c>
      <c r="C217" s="3" t="s">
        <v>86</v>
      </c>
    </row>
    <row r="218" spans="1:3" ht="24" thickBot="1" x14ac:dyDescent="0.6">
      <c r="A218" s="2" t="s">
        <v>30</v>
      </c>
      <c r="B218" s="17" t="s">
        <v>82</v>
      </c>
      <c r="C218" s="3" t="s">
        <v>95</v>
      </c>
    </row>
    <row r="219" spans="1:3" ht="24" thickBot="1" x14ac:dyDescent="0.6">
      <c r="A219" s="2" t="s">
        <v>30</v>
      </c>
      <c r="B219" s="17" t="s">
        <v>83</v>
      </c>
      <c r="C219" s="3" t="s">
        <v>15</v>
      </c>
    </row>
    <row r="220" spans="1:3" ht="24" thickBot="1" x14ac:dyDescent="0.6">
      <c r="A220" s="2" t="s">
        <v>30</v>
      </c>
      <c r="B220" s="17" t="s">
        <v>84</v>
      </c>
      <c r="C220" s="3" t="s">
        <v>88</v>
      </c>
    </row>
    <row r="221" spans="1:3" ht="24" thickBot="1" x14ac:dyDescent="0.6">
      <c r="A221" s="2" t="s">
        <v>32</v>
      </c>
      <c r="B221" s="17" t="s">
        <v>65</v>
      </c>
      <c r="C221" s="3" t="s">
        <v>15</v>
      </c>
    </row>
    <row r="222" spans="1:3" ht="23.5" x14ac:dyDescent="0.55000000000000004">
      <c r="A222" s="2" t="s">
        <v>32</v>
      </c>
      <c r="B222" s="19" t="s">
        <v>67</v>
      </c>
      <c r="C222" s="23" t="s">
        <v>15</v>
      </c>
    </row>
    <row r="223" spans="1:3" ht="23.5" x14ac:dyDescent="0.55000000000000004">
      <c r="A223" s="2" t="s">
        <v>32</v>
      </c>
      <c r="B223" s="20" t="s">
        <v>68</v>
      </c>
      <c r="C223" s="24" t="s">
        <v>15</v>
      </c>
    </row>
    <row r="224" spans="1:3" ht="23.5" x14ac:dyDescent="0.55000000000000004">
      <c r="A224" s="2" t="s">
        <v>32</v>
      </c>
      <c r="B224" s="20" t="s">
        <v>69</v>
      </c>
      <c r="C224" s="25" t="s">
        <v>15</v>
      </c>
    </row>
    <row r="225" spans="1:3" ht="23.5" x14ac:dyDescent="0.55000000000000004">
      <c r="A225" s="2" t="s">
        <v>32</v>
      </c>
      <c r="B225" s="20" t="s">
        <v>70</v>
      </c>
      <c r="C225" s="25" t="s">
        <v>15</v>
      </c>
    </row>
    <row r="226" spans="1:3" ht="23.5" x14ac:dyDescent="0.55000000000000004">
      <c r="A226" s="2" t="s">
        <v>32</v>
      </c>
      <c r="B226" s="20" t="s">
        <v>71</v>
      </c>
      <c r="C226" s="25" t="s">
        <v>16</v>
      </c>
    </row>
    <row r="227" spans="1:3" ht="23.5" x14ac:dyDescent="0.55000000000000004">
      <c r="A227" s="2" t="s">
        <v>32</v>
      </c>
      <c r="B227" s="20" t="s">
        <v>72</v>
      </c>
      <c r="C227" s="25" t="s">
        <v>16</v>
      </c>
    </row>
    <row r="228" spans="1:3" ht="24" thickBot="1" x14ac:dyDescent="0.6">
      <c r="A228" s="2" t="s">
        <v>32</v>
      </c>
      <c r="B228" s="20" t="s">
        <v>73</v>
      </c>
      <c r="C228" s="25" t="s">
        <v>15</v>
      </c>
    </row>
    <row r="229" spans="1:3" ht="24" thickBot="1" x14ac:dyDescent="0.6">
      <c r="A229" s="2" t="s">
        <v>32</v>
      </c>
      <c r="B229" s="17" t="s">
        <v>75</v>
      </c>
      <c r="C229" s="3" t="s">
        <v>16</v>
      </c>
    </row>
    <row r="230" spans="1:3" ht="24" thickBot="1" x14ac:dyDescent="0.6">
      <c r="A230" s="2" t="s">
        <v>32</v>
      </c>
      <c r="B230" s="17" t="s">
        <v>76</v>
      </c>
      <c r="C230" s="3" t="s">
        <v>16</v>
      </c>
    </row>
    <row r="231" spans="1:3" ht="24" thickBot="1" x14ac:dyDescent="0.6">
      <c r="A231" s="2" t="s">
        <v>32</v>
      </c>
      <c r="B231" s="17" t="s">
        <v>77</v>
      </c>
      <c r="C231" s="3" t="s">
        <v>16</v>
      </c>
    </row>
    <row r="232" spans="1:3" ht="24" thickBot="1" x14ac:dyDescent="0.6">
      <c r="A232" s="2" t="s">
        <v>32</v>
      </c>
      <c r="B232" s="17" t="s">
        <v>78</v>
      </c>
      <c r="C232" s="3" t="s">
        <v>16</v>
      </c>
    </row>
    <row r="233" spans="1:3" ht="24" thickBot="1" x14ac:dyDescent="0.6">
      <c r="A233" s="2" t="s">
        <v>32</v>
      </c>
      <c r="B233" s="17" t="s">
        <v>79</v>
      </c>
      <c r="C233" s="3" t="s">
        <v>15</v>
      </c>
    </row>
    <row r="234" spans="1:3" ht="24" thickBot="1" x14ac:dyDescent="0.6">
      <c r="A234" s="2" t="s">
        <v>32</v>
      </c>
      <c r="B234" s="17" t="s">
        <v>80</v>
      </c>
      <c r="C234" s="3">
        <v>0</v>
      </c>
    </row>
    <row r="235" spans="1:3" ht="24" thickBot="1" x14ac:dyDescent="0.6">
      <c r="A235" s="2" t="s">
        <v>32</v>
      </c>
      <c r="B235" s="17" t="s">
        <v>81</v>
      </c>
      <c r="C235" s="3" t="s">
        <v>86</v>
      </c>
    </row>
    <row r="236" spans="1:3" ht="24" thickBot="1" x14ac:dyDescent="0.6">
      <c r="A236" s="2" t="s">
        <v>32</v>
      </c>
      <c r="B236" s="17" t="s">
        <v>82</v>
      </c>
      <c r="C236" s="3" t="s">
        <v>87</v>
      </c>
    </row>
    <row r="237" spans="1:3" ht="24" thickBot="1" x14ac:dyDescent="0.6">
      <c r="A237" s="2" t="s">
        <v>32</v>
      </c>
      <c r="B237" s="17" t="s">
        <v>83</v>
      </c>
      <c r="C237" s="3" t="s">
        <v>15</v>
      </c>
    </row>
    <row r="238" spans="1:3" ht="24" thickBot="1" x14ac:dyDescent="0.6">
      <c r="A238" s="2" t="s">
        <v>32</v>
      </c>
      <c r="B238" s="17" t="s">
        <v>84</v>
      </c>
      <c r="C238" s="3" t="s">
        <v>89</v>
      </c>
    </row>
    <row r="239" spans="1:3" ht="24" thickBot="1" x14ac:dyDescent="0.6">
      <c r="A239" s="2" t="s">
        <v>33</v>
      </c>
      <c r="B239" s="17" t="s">
        <v>65</v>
      </c>
      <c r="C239" s="3" t="s">
        <v>15</v>
      </c>
    </row>
    <row r="240" spans="1:3" ht="23.5" x14ac:dyDescent="0.55000000000000004">
      <c r="A240" s="2" t="s">
        <v>33</v>
      </c>
      <c r="B240" s="19" t="s">
        <v>67</v>
      </c>
      <c r="C240" s="23" t="s">
        <v>15</v>
      </c>
    </row>
    <row r="241" spans="1:3" ht="23.5" x14ac:dyDescent="0.55000000000000004">
      <c r="A241" s="2" t="s">
        <v>33</v>
      </c>
      <c r="B241" s="20" t="s">
        <v>68</v>
      </c>
      <c r="C241" s="24" t="s">
        <v>15</v>
      </c>
    </row>
    <row r="242" spans="1:3" ht="23.5" x14ac:dyDescent="0.55000000000000004">
      <c r="A242" s="2" t="s">
        <v>33</v>
      </c>
      <c r="B242" s="20" t="s">
        <v>69</v>
      </c>
      <c r="C242" s="25" t="s">
        <v>15</v>
      </c>
    </row>
    <row r="243" spans="1:3" ht="23.5" x14ac:dyDescent="0.55000000000000004">
      <c r="A243" s="2" t="s">
        <v>33</v>
      </c>
      <c r="B243" s="20" t="s">
        <v>70</v>
      </c>
      <c r="C243" s="25" t="s">
        <v>15</v>
      </c>
    </row>
    <row r="244" spans="1:3" ht="23.5" x14ac:dyDescent="0.55000000000000004">
      <c r="A244" s="2" t="s">
        <v>33</v>
      </c>
      <c r="B244" s="20" t="s">
        <v>71</v>
      </c>
      <c r="C244" s="25" t="s">
        <v>15</v>
      </c>
    </row>
    <row r="245" spans="1:3" ht="23.5" x14ac:dyDescent="0.55000000000000004">
      <c r="A245" s="2" t="s">
        <v>33</v>
      </c>
      <c r="B245" s="20" t="s">
        <v>72</v>
      </c>
      <c r="C245" s="25" t="s">
        <v>15</v>
      </c>
    </row>
    <row r="246" spans="1:3" ht="23.5" x14ac:dyDescent="0.55000000000000004">
      <c r="A246" s="2" t="s">
        <v>33</v>
      </c>
      <c r="B246" s="20" t="s">
        <v>73</v>
      </c>
      <c r="C246" s="25" t="s">
        <v>15</v>
      </c>
    </row>
    <row r="247" spans="1:3" ht="24" thickBot="1" x14ac:dyDescent="0.6">
      <c r="A247" s="2" t="s">
        <v>33</v>
      </c>
      <c r="B247" s="20" t="s">
        <v>74</v>
      </c>
      <c r="C247" s="24" t="s">
        <v>96</v>
      </c>
    </row>
    <row r="248" spans="1:3" ht="24" thickBot="1" x14ac:dyDescent="0.6">
      <c r="A248" s="2" t="s">
        <v>33</v>
      </c>
      <c r="B248" s="17" t="s">
        <v>75</v>
      </c>
      <c r="C248" s="3" t="s">
        <v>15</v>
      </c>
    </row>
    <row r="249" spans="1:3" ht="24" thickBot="1" x14ac:dyDescent="0.6">
      <c r="A249" s="2" t="s">
        <v>33</v>
      </c>
      <c r="B249" s="17" t="s">
        <v>76</v>
      </c>
      <c r="C249" s="3" t="s">
        <v>15</v>
      </c>
    </row>
    <row r="250" spans="1:3" ht="24" thickBot="1" x14ac:dyDescent="0.6">
      <c r="A250" s="2" t="s">
        <v>33</v>
      </c>
      <c r="B250" s="17" t="s">
        <v>77</v>
      </c>
      <c r="C250" s="3" t="s">
        <v>15</v>
      </c>
    </row>
    <row r="251" spans="1:3" ht="24" thickBot="1" x14ac:dyDescent="0.6">
      <c r="A251" s="2" t="s">
        <v>33</v>
      </c>
      <c r="B251" s="17" t="s">
        <v>78</v>
      </c>
      <c r="C251" s="3" t="s">
        <v>20</v>
      </c>
    </row>
    <row r="252" spans="1:3" ht="24" thickBot="1" x14ac:dyDescent="0.6">
      <c r="A252" s="2" t="s">
        <v>33</v>
      </c>
      <c r="B252" s="17" t="s">
        <v>79</v>
      </c>
      <c r="C252" s="3" t="s">
        <v>15</v>
      </c>
    </row>
    <row r="253" spans="1:3" ht="24" thickBot="1" x14ac:dyDescent="0.6">
      <c r="A253" s="2" t="s">
        <v>33</v>
      </c>
      <c r="B253" s="17" t="s">
        <v>80</v>
      </c>
      <c r="C253" s="3">
        <v>0</v>
      </c>
    </row>
    <row r="254" spans="1:3" ht="24" thickBot="1" x14ac:dyDescent="0.6">
      <c r="A254" s="2" t="s">
        <v>33</v>
      </c>
      <c r="B254" s="17" t="s">
        <v>83</v>
      </c>
      <c r="C254" s="3" t="s">
        <v>15</v>
      </c>
    </row>
    <row r="255" spans="1:3" ht="24" thickBot="1" x14ac:dyDescent="0.6">
      <c r="A255" s="2" t="s">
        <v>33</v>
      </c>
      <c r="B255" s="17" t="s">
        <v>84</v>
      </c>
      <c r="C255" s="3" t="s">
        <v>89</v>
      </c>
    </row>
    <row r="256" spans="1:3" ht="24" thickBot="1" x14ac:dyDescent="0.6">
      <c r="A256" s="2" t="s">
        <v>34</v>
      </c>
      <c r="B256" s="17" t="s">
        <v>65</v>
      </c>
      <c r="C256" s="3" t="s">
        <v>15</v>
      </c>
    </row>
    <row r="257" spans="1:3" ht="23.5" x14ac:dyDescent="0.55000000000000004">
      <c r="A257" s="2" t="s">
        <v>34</v>
      </c>
      <c r="B257" s="19" t="s">
        <v>67</v>
      </c>
      <c r="C257" s="23" t="s">
        <v>15</v>
      </c>
    </row>
    <row r="258" spans="1:3" ht="23.5" x14ac:dyDescent="0.55000000000000004">
      <c r="A258" s="2" t="s">
        <v>34</v>
      </c>
      <c r="B258" s="20" t="s">
        <v>68</v>
      </c>
      <c r="C258" s="24" t="s">
        <v>15</v>
      </c>
    </row>
    <row r="259" spans="1:3" ht="23.5" x14ac:dyDescent="0.55000000000000004">
      <c r="A259" s="2" t="s">
        <v>34</v>
      </c>
      <c r="B259" s="20" t="s">
        <v>69</v>
      </c>
      <c r="C259" s="25" t="s">
        <v>15</v>
      </c>
    </row>
    <row r="260" spans="1:3" ht="23.5" x14ac:dyDescent="0.55000000000000004">
      <c r="A260" s="2" t="s">
        <v>34</v>
      </c>
      <c r="B260" s="20" t="s">
        <v>70</v>
      </c>
      <c r="C260" s="25" t="s">
        <v>15</v>
      </c>
    </row>
    <row r="261" spans="1:3" ht="23.5" x14ac:dyDescent="0.55000000000000004">
      <c r="A261" s="2" t="s">
        <v>34</v>
      </c>
      <c r="B261" s="20" t="s">
        <v>71</v>
      </c>
      <c r="C261" s="25" t="s">
        <v>15</v>
      </c>
    </row>
    <row r="262" spans="1:3" ht="23.5" x14ac:dyDescent="0.55000000000000004">
      <c r="A262" s="2" t="s">
        <v>34</v>
      </c>
      <c r="B262" s="20" t="s">
        <v>72</v>
      </c>
      <c r="C262" s="25" t="s">
        <v>15</v>
      </c>
    </row>
    <row r="263" spans="1:3" ht="23.5" x14ac:dyDescent="0.55000000000000004">
      <c r="A263" s="2" t="s">
        <v>34</v>
      </c>
      <c r="B263" s="20" t="s">
        <v>73</v>
      </c>
      <c r="C263" s="25" t="s">
        <v>15</v>
      </c>
    </row>
    <row r="264" spans="1:3" ht="24" thickBot="1" x14ac:dyDescent="0.6">
      <c r="A264" s="2" t="s">
        <v>34</v>
      </c>
      <c r="B264" s="20" t="s">
        <v>74</v>
      </c>
      <c r="C264" s="24" t="s">
        <v>15</v>
      </c>
    </row>
    <row r="265" spans="1:3" ht="24" thickBot="1" x14ac:dyDescent="0.6">
      <c r="A265" s="2" t="s">
        <v>34</v>
      </c>
      <c r="B265" s="17" t="s">
        <v>75</v>
      </c>
      <c r="C265" s="3" t="s">
        <v>15</v>
      </c>
    </row>
    <row r="266" spans="1:3" ht="24" thickBot="1" x14ac:dyDescent="0.6">
      <c r="A266" s="2" t="s">
        <v>34</v>
      </c>
      <c r="B266" s="17" t="s">
        <v>76</v>
      </c>
      <c r="C266" s="3" t="s">
        <v>16</v>
      </c>
    </row>
    <row r="267" spans="1:3" ht="24" thickBot="1" x14ac:dyDescent="0.6">
      <c r="A267" s="2" t="s">
        <v>34</v>
      </c>
      <c r="B267" s="17" t="s">
        <v>77</v>
      </c>
      <c r="C267" s="3" t="s">
        <v>15</v>
      </c>
    </row>
    <row r="268" spans="1:3" ht="24" thickBot="1" x14ac:dyDescent="0.6">
      <c r="A268" s="2" t="s">
        <v>34</v>
      </c>
      <c r="B268" s="17" t="s">
        <v>78</v>
      </c>
      <c r="C268" s="3" t="s">
        <v>15</v>
      </c>
    </row>
    <row r="269" spans="1:3" ht="24" thickBot="1" x14ac:dyDescent="0.6">
      <c r="A269" s="2" t="s">
        <v>34</v>
      </c>
      <c r="B269" s="17" t="s">
        <v>79</v>
      </c>
      <c r="C269" s="3" t="s">
        <v>16</v>
      </c>
    </row>
    <row r="270" spans="1:3" ht="24" thickBot="1" x14ac:dyDescent="0.6">
      <c r="A270" s="2" t="s">
        <v>34</v>
      </c>
      <c r="B270" s="17" t="s">
        <v>80</v>
      </c>
      <c r="C270" s="3">
        <v>1</v>
      </c>
    </row>
    <row r="271" spans="1:3" ht="24" thickBot="1" x14ac:dyDescent="0.6">
      <c r="A271" s="2" t="s">
        <v>34</v>
      </c>
      <c r="B271" s="17" t="s">
        <v>81</v>
      </c>
      <c r="C271" s="3" t="s">
        <v>91</v>
      </c>
    </row>
    <row r="272" spans="1:3" ht="24" thickBot="1" x14ac:dyDescent="0.6">
      <c r="A272" s="2" t="s">
        <v>34</v>
      </c>
      <c r="B272" s="17" t="s">
        <v>82</v>
      </c>
      <c r="C272" s="3" t="s">
        <v>95</v>
      </c>
    </row>
    <row r="273" spans="1:3" ht="24" thickBot="1" x14ac:dyDescent="0.6">
      <c r="A273" s="2" t="s">
        <v>34</v>
      </c>
      <c r="B273" s="17" t="s">
        <v>83</v>
      </c>
      <c r="C273" s="3" t="s">
        <v>15</v>
      </c>
    </row>
    <row r="274" spans="1:3" ht="24" thickBot="1" x14ac:dyDescent="0.6">
      <c r="A274" s="2" t="s">
        <v>34</v>
      </c>
      <c r="B274" s="17" t="s">
        <v>84</v>
      </c>
      <c r="C274" s="3" t="s">
        <v>89</v>
      </c>
    </row>
    <row r="275" spans="1:3" ht="24" thickBot="1" x14ac:dyDescent="0.6">
      <c r="A275" s="2" t="s">
        <v>35</v>
      </c>
      <c r="B275" s="17" t="s">
        <v>65</v>
      </c>
      <c r="C275" s="3" t="s">
        <v>15</v>
      </c>
    </row>
    <row r="276" spans="1:3" ht="24" thickBot="1" x14ac:dyDescent="0.6">
      <c r="A276" s="2" t="s">
        <v>35</v>
      </c>
      <c r="B276" s="20" t="s">
        <v>69</v>
      </c>
      <c r="C276" s="25" t="s">
        <v>15</v>
      </c>
    </row>
    <row r="277" spans="1:3" ht="24" thickBot="1" x14ac:dyDescent="0.6">
      <c r="A277" s="2" t="s">
        <v>35</v>
      </c>
      <c r="B277" s="17" t="s">
        <v>75</v>
      </c>
      <c r="C277" s="3" t="s">
        <v>15</v>
      </c>
    </row>
    <row r="278" spans="1:3" ht="24" thickBot="1" x14ac:dyDescent="0.6">
      <c r="A278" s="2" t="s">
        <v>35</v>
      </c>
      <c r="B278" s="17" t="s">
        <v>76</v>
      </c>
      <c r="C278" s="3" t="s">
        <v>85</v>
      </c>
    </row>
    <row r="279" spans="1:3" ht="24" thickBot="1" x14ac:dyDescent="0.6">
      <c r="A279" s="2" t="s">
        <v>35</v>
      </c>
      <c r="B279" s="17" t="s">
        <v>77</v>
      </c>
      <c r="C279" s="3" t="s">
        <v>16</v>
      </c>
    </row>
    <row r="280" spans="1:3" ht="24" thickBot="1" x14ac:dyDescent="0.6">
      <c r="A280" s="2" t="s">
        <v>35</v>
      </c>
      <c r="B280" s="17" t="s">
        <v>78</v>
      </c>
      <c r="C280" s="3" t="s">
        <v>16</v>
      </c>
    </row>
    <row r="281" spans="1:3" ht="24" thickBot="1" x14ac:dyDescent="0.6">
      <c r="A281" s="2" t="s">
        <v>35</v>
      </c>
      <c r="B281" s="17" t="s">
        <v>79</v>
      </c>
      <c r="C281" s="3" t="s">
        <v>15</v>
      </c>
    </row>
    <row r="282" spans="1:3" ht="24" thickBot="1" x14ac:dyDescent="0.6">
      <c r="A282" s="2" t="s">
        <v>35</v>
      </c>
      <c r="B282" s="17" t="s">
        <v>80</v>
      </c>
      <c r="C282" s="3">
        <v>5</v>
      </c>
    </row>
    <row r="283" spans="1:3" ht="24" thickBot="1" x14ac:dyDescent="0.6">
      <c r="A283" s="2" t="s">
        <v>35</v>
      </c>
      <c r="B283" s="17" t="s">
        <v>81</v>
      </c>
      <c r="C283" s="3" t="s">
        <v>97</v>
      </c>
    </row>
    <row r="284" spans="1:3" ht="24" thickBot="1" x14ac:dyDescent="0.6">
      <c r="A284" s="2" t="s">
        <v>35</v>
      </c>
      <c r="B284" s="17" t="s">
        <v>82</v>
      </c>
      <c r="C284" s="3" t="s">
        <v>95</v>
      </c>
    </row>
    <row r="285" spans="1:3" ht="24" thickBot="1" x14ac:dyDescent="0.6">
      <c r="A285" s="2" t="s">
        <v>35</v>
      </c>
      <c r="B285" s="17" t="s">
        <v>83</v>
      </c>
      <c r="C285" s="3" t="s">
        <v>15</v>
      </c>
    </row>
    <row r="286" spans="1:3" ht="24" thickBot="1" x14ac:dyDescent="0.6">
      <c r="A286" s="2" t="s">
        <v>35</v>
      </c>
      <c r="B286" s="17" t="s">
        <v>84</v>
      </c>
      <c r="C286" s="3" t="s">
        <v>89</v>
      </c>
    </row>
    <row r="287" spans="1:3" ht="24" thickBot="1" x14ac:dyDescent="0.6">
      <c r="A287" s="2" t="s">
        <v>37</v>
      </c>
      <c r="B287" s="17" t="s">
        <v>65</v>
      </c>
      <c r="C287" s="3" t="s">
        <v>15</v>
      </c>
    </row>
    <row r="288" spans="1:3" ht="23.5" x14ac:dyDescent="0.55000000000000004">
      <c r="A288" s="2" t="s">
        <v>37</v>
      </c>
      <c r="B288" s="19" t="s">
        <v>67</v>
      </c>
      <c r="C288" s="23" t="s">
        <v>15</v>
      </c>
    </row>
    <row r="289" spans="1:3" ht="23.5" x14ac:dyDescent="0.55000000000000004">
      <c r="A289" s="2" t="s">
        <v>37</v>
      </c>
      <c r="B289" s="20" t="s">
        <v>68</v>
      </c>
      <c r="C289" s="24" t="s">
        <v>15</v>
      </c>
    </row>
    <row r="290" spans="1:3" ht="23.5" x14ac:dyDescent="0.55000000000000004">
      <c r="A290" s="2" t="s">
        <v>37</v>
      </c>
      <c r="B290" s="20" t="s">
        <v>69</v>
      </c>
      <c r="C290" s="25" t="s">
        <v>15</v>
      </c>
    </row>
    <row r="291" spans="1:3" ht="23.5" x14ac:dyDescent="0.55000000000000004">
      <c r="A291" s="2" t="s">
        <v>37</v>
      </c>
      <c r="B291" s="20" t="s">
        <v>70</v>
      </c>
      <c r="C291" s="25" t="s">
        <v>15</v>
      </c>
    </row>
    <row r="292" spans="1:3" ht="24" thickBot="1" x14ac:dyDescent="0.6">
      <c r="A292" s="2" t="s">
        <v>37</v>
      </c>
      <c r="B292" s="20" t="s">
        <v>71</v>
      </c>
      <c r="C292" s="25" t="s">
        <v>15</v>
      </c>
    </row>
    <row r="293" spans="1:3" ht="24" thickBot="1" x14ac:dyDescent="0.6">
      <c r="A293" s="2" t="s">
        <v>37</v>
      </c>
      <c r="B293" s="17" t="s">
        <v>75</v>
      </c>
      <c r="C293" s="3" t="s">
        <v>15</v>
      </c>
    </row>
    <row r="294" spans="1:3" ht="24" thickBot="1" x14ac:dyDescent="0.6">
      <c r="A294" s="2" t="s">
        <v>37</v>
      </c>
      <c r="B294" s="17" t="s">
        <v>76</v>
      </c>
      <c r="C294" s="3" t="s">
        <v>15</v>
      </c>
    </row>
    <row r="295" spans="1:3" ht="24" thickBot="1" x14ac:dyDescent="0.6">
      <c r="A295" s="2" t="s">
        <v>37</v>
      </c>
      <c r="B295" s="17" t="s">
        <v>77</v>
      </c>
      <c r="C295" s="3" t="s">
        <v>15</v>
      </c>
    </row>
    <row r="296" spans="1:3" ht="24" thickBot="1" x14ac:dyDescent="0.6">
      <c r="A296" s="2" t="s">
        <v>37</v>
      </c>
      <c r="B296" s="17" t="s">
        <v>78</v>
      </c>
      <c r="C296" s="3" t="s">
        <v>15</v>
      </c>
    </row>
    <row r="297" spans="1:3" ht="24" thickBot="1" x14ac:dyDescent="0.6">
      <c r="A297" s="2" t="s">
        <v>37</v>
      </c>
      <c r="B297" s="17" t="s">
        <v>79</v>
      </c>
      <c r="C297" s="3" t="s">
        <v>15</v>
      </c>
    </row>
    <row r="298" spans="1:3" ht="24" thickBot="1" x14ac:dyDescent="0.6">
      <c r="A298" s="2" t="s">
        <v>37</v>
      </c>
      <c r="B298" s="17" t="s">
        <v>80</v>
      </c>
      <c r="C298" s="3">
        <v>1</v>
      </c>
    </row>
    <row r="299" spans="1:3" ht="24" thickBot="1" x14ac:dyDescent="0.6">
      <c r="A299" s="2" t="s">
        <v>37</v>
      </c>
      <c r="B299" s="17" t="s">
        <v>81</v>
      </c>
      <c r="C299" s="3" t="s">
        <v>97</v>
      </c>
    </row>
    <row r="300" spans="1:3" ht="24" thickBot="1" x14ac:dyDescent="0.6">
      <c r="A300" s="2" t="s">
        <v>37</v>
      </c>
      <c r="B300" s="17" t="s">
        <v>82</v>
      </c>
      <c r="C300" s="3" t="s">
        <v>87</v>
      </c>
    </row>
    <row r="301" spans="1:3" ht="24" thickBot="1" x14ac:dyDescent="0.6">
      <c r="A301" s="2" t="s">
        <v>37</v>
      </c>
      <c r="B301" s="17" t="s">
        <v>83</v>
      </c>
      <c r="C301" s="3" t="s">
        <v>15</v>
      </c>
    </row>
    <row r="302" spans="1:3" ht="24" thickBot="1" x14ac:dyDescent="0.6">
      <c r="A302" s="2" t="s">
        <v>37</v>
      </c>
      <c r="B302" s="17" t="s">
        <v>84</v>
      </c>
      <c r="C302" s="3" t="s">
        <v>89</v>
      </c>
    </row>
    <row r="303" spans="1:3" ht="24" thickBot="1" x14ac:dyDescent="0.6">
      <c r="A303" s="2" t="s">
        <v>38</v>
      </c>
      <c r="B303" s="17" t="s">
        <v>65</v>
      </c>
      <c r="C303" s="3" t="s">
        <v>15</v>
      </c>
    </row>
    <row r="304" spans="1:3" ht="23.5" x14ac:dyDescent="0.55000000000000004">
      <c r="A304" s="2" t="s">
        <v>38</v>
      </c>
      <c r="B304" s="19" t="s">
        <v>67</v>
      </c>
      <c r="C304" s="23" t="s">
        <v>15</v>
      </c>
    </row>
    <row r="305" spans="1:3" ht="23.5" x14ac:dyDescent="0.55000000000000004">
      <c r="A305" s="2" t="s">
        <v>38</v>
      </c>
      <c r="B305" s="20" t="s">
        <v>68</v>
      </c>
      <c r="C305" s="24" t="s">
        <v>15</v>
      </c>
    </row>
    <row r="306" spans="1:3" ht="23.5" x14ac:dyDescent="0.55000000000000004">
      <c r="A306" s="2" t="s">
        <v>38</v>
      </c>
      <c r="B306" s="20" t="s">
        <v>69</v>
      </c>
      <c r="C306" s="25" t="s">
        <v>15</v>
      </c>
    </row>
    <row r="307" spans="1:3" ht="23.5" x14ac:dyDescent="0.55000000000000004">
      <c r="A307" s="2" t="s">
        <v>38</v>
      </c>
      <c r="B307" s="20" t="s">
        <v>70</v>
      </c>
      <c r="C307" s="25" t="s">
        <v>15</v>
      </c>
    </row>
    <row r="308" spans="1:3" ht="23.5" x14ac:dyDescent="0.55000000000000004">
      <c r="A308" s="2" t="s">
        <v>38</v>
      </c>
      <c r="B308" s="20" t="s">
        <v>71</v>
      </c>
      <c r="C308" s="25" t="s">
        <v>15</v>
      </c>
    </row>
    <row r="309" spans="1:3" ht="23.5" x14ac:dyDescent="0.55000000000000004">
      <c r="A309" s="2" t="s">
        <v>38</v>
      </c>
      <c r="B309" s="20" t="s">
        <v>72</v>
      </c>
      <c r="C309" s="25" t="s">
        <v>15</v>
      </c>
    </row>
    <row r="310" spans="1:3" ht="24" thickBot="1" x14ac:dyDescent="0.6">
      <c r="A310" s="2" t="s">
        <v>38</v>
      </c>
      <c r="B310" s="20" t="s">
        <v>73</v>
      </c>
      <c r="C310" s="25" t="s">
        <v>15</v>
      </c>
    </row>
    <row r="311" spans="1:3" ht="24" thickBot="1" x14ac:dyDescent="0.6">
      <c r="A311" s="2" t="s">
        <v>38</v>
      </c>
      <c r="B311" s="17" t="s">
        <v>75</v>
      </c>
      <c r="C311" s="3" t="s">
        <v>15</v>
      </c>
    </row>
    <row r="312" spans="1:3" ht="24" thickBot="1" x14ac:dyDescent="0.6">
      <c r="A312" s="2" t="s">
        <v>38</v>
      </c>
      <c r="B312" s="17" t="s">
        <v>76</v>
      </c>
      <c r="C312" s="3" t="s">
        <v>15</v>
      </c>
    </row>
    <row r="313" spans="1:3" ht="24" thickBot="1" x14ac:dyDescent="0.6">
      <c r="A313" s="2" t="s">
        <v>38</v>
      </c>
      <c r="B313" s="17" t="s">
        <v>77</v>
      </c>
      <c r="C313" s="3" t="s">
        <v>16</v>
      </c>
    </row>
    <row r="314" spans="1:3" ht="24" thickBot="1" x14ac:dyDescent="0.6">
      <c r="A314" s="2" t="s">
        <v>38</v>
      </c>
      <c r="B314" s="17" t="s">
        <v>78</v>
      </c>
      <c r="C314" s="3" t="s">
        <v>16</v>
      </c>
    </row>
    <row r="315" spans="1:3" ht="24" thickBot="1" x14ac:dyDescent="0.6">
      <c r="A315" s="2" t="s">
        <v>38</v>
      </c>
      <c r="B315" s="17" t="s">
        <v>79</v>
      </c>
      <c r="C315" s="3" t="s">
        <v>16</v>
      </c>
    </row>
    <row r="316" spans="1:3" ht="24" thickBot="1" x14ac:dyDescent="0.6">
      <c r="A316" s="2" t="s">
        <v>38</v>
      </c>
      <c r="B316" s="17" t="s">
        <v>80</v>
      </c>
      <c r="C316" s="3">
        <v>0</v>
      </c>
    </row>
    <row r="317" spans="1:3" ht="24" thickBot="1" x14ac:dyDescent="0.6">
      <c r="A317" s="2" t="s">
        <v>38</v>
      </c>
      <c r="B317" s="17" t="s">
        <v>82</v>
      </c>
      <c r="C317" s="3" t="s">
        <v>87</v>
      </c>
    </row>
    <row r="318" spans="1:3" ht="24" thickBot="1" x14ac:dyDescent="0.6">
      <c r="A318" s="2" t="s">
        <v>38</v>
      </c>
      <c r="B318" s="17" t="s">
        <v>83</v>
      </c>
      <c r="C318" s="3" t="s">
        <v>15</v>
      </c>
    </row>
    <row r="319" spans="1:3" ht="24" thickBot="1" x14ac:dyDescent="0.6">
      <c r="A319" s="2" t="s">
        <v>38</v>
      </c>
      <c r="B319" s="17" t="s">
        <v>84</v>
      </c>
      <c r="C319" s="3" t="s">
        <v>89</v>
      </c>
    </row>
    <row r="320" spans="1:3" ht="23.5" x14ac:dyDescent="0.55000000000000004">
      <c r="A320" s="2" t="s">
        <v>39</v>
      </c>
      <c r="B320" s="19" t="s">
        <v>67</v>
      </c>
      <c r="C320" s="23" t="s">
        <v>15</v>
      </c>
    </row>
    <row r="321" spans="1:3" ht="23.5" x14ac:dyDescent="0.55000000000000004">
      <c r="A321" s="2" t="s">
        <v>39</v>
      </c>
      <c r="B321" s="20" t="s">
        <v>68</v>
      </c>
      <c r="C321" s="24" t="s">
        <v>15</v>
      </c>
    </row>
    <row r="322" spans="1:3" ht="23.5" x14ac:dyDescent="0.55000000000000004">
      <c r="A322" s="2" t="s">
        <v>39</v>
      </c>
      <c r="B322" s="20" t="s">
        <v>69</v>
      </c>
      <c r="C322" s="25" t="s">
        <v>15</v>
      </c>
    </row>
    <row r="323" spans="1:3" ht="23.5" x14ac:dyDescent="0.55000000000000004">
      <c r="A323" s="2" t="s">
        <v>39</v>
      </c>
      <c r="B323" s="20" t="s">
        <v>70</v>
      </c>
      <c r="C323" s="25" t="s">
        <v>15</v>
      </c>
    </row>
    <row r="324" spans="1:3" ht="23.5" x14ac:dyDescent="0.55000000000000004">
      <c r="A324" s="2" t="s">
        <v>39</v>
      </c>
      <c r="B324" s="20" t="s">
        <v>71</v>
      </c>
      <c r="C324" s="25" t="s">
        <v>15</v>
      </c>
    </row>
    <row r="325" spans="1:3" ht="24" thickBot="1" x14ac:dyDescent="0.6">
      <c r="A325" s="2" t="s">
        <v>39</v>
      </c>
      <c r="B325" s="20" t="s">
        <v>72</v>
      </c>
      <c r="C325" s="25" t="s">
        <v>15</v>
      </c>
    </row>
    <row r="326" spans="1:3" ht="24" thickBot="1" x14ac:dyDescent="0.6">
      <c r="A326" s="2" t="s">
        <v>39</v>
      </c>
      <c r="B326" s="17" t="s">
        <v>75</v>
      </c>
      <c r="C326" s="3" t="s">
        <v>15</v>
      </c>
    </row>
    <row r="327" spans="1:3" ht="24" thickBot="1" x14ac:dyDescent="0.6">
      <c r="A327" s="2" t="s">
        <v>39</v>
      </c>
      <c r="B327" s="17" t="s">
        <v>76</v>
      </c>
      <c r="C327" s="3" t="s">
        <v>15</v>
      </c>
    </row>
    <row r="328" spans="1:3" ht="24" thickBot="1" x14ac:dyDescent="0.6">
      <c r="A328" s="2" t="s">
        <v>39</v>
      </c>
      <c r="B328" s="17" t="s">
        <v>77</v>
      </c>
      <c r="C328" s="3" t="s">
        <v>15</v>
      </c>
    </row>
    <row r="329" spans="1:3" ht="24" thickBot="1" x14ac:dyDescent="0.6">
      <c r="A329" s="2" t="s">
        <v>39</v>
      </c>
      <c r="B329" s="17" t="s">
        <v>79</v>
      </c>
      <c r="C329" s="3" t="s">
        <v>16</v>
      </c>
    </row>
    <row r="330" spans="1:3" ht="24" thickBot="1" x14ac:dyDescent="0.6">
      <c r="A330" s="2" t="s">
        <v>39</v>
      </c>
      <c r="B330" s="17" t="s">
        <v>80</v>
      </c>
      <c r="C330" s="3">
        <v>8</v>
      </c>
    </row>
    <row r="331" spans="1:3" ht="24" thickBot="1" x14ac:dyDescent="0.6">
      <c r="A331" s="2" t="s">
        <v>39</v>
      </c>
      <c r="B331" s="17" t="s">
        <v>81</v>
      </c>
      <c r="C331" s="3" t="s">
        <v>93</v>
      </c>
    </row>
    <row r="332" spans="1:3" ht="24" thickBot="1" x14ac:dyDescent="0.6">
      <c r="A332" s="2" t="s">
        <v>39</v>
      </c>
      <c r="B332" s="17" t="s">
        <v>82</v>
      </c>
      <c r="C332" s="3" t="s">
        <v>87</v>
      </c>
    </row>
    <row r="333" spans="1:3" ht="24" thickBot="1" x14ac:dyDescent="0.6">
      <c r="A333" s="2" t="s">
        <v>39</v>
      </c>
      <c r="B333" s="17" t="s">
        <v>83</v>
      </c>
      <c r="C333" s="3" t="s">
        <v>15</v>
      </c>
    </row>
    <row r="334" spans="1:3" ht="24" thickBot="1" x14ac:dyDescent="0.6">
      <c r="A334" s="2" t="s">
        <v>39</v>
      </c>
      <c r="B334" s="17" t="s">
        <v>84</v>
      </c>
      <c r="C334" s="3" t="s">
        <v>89</v>
      </c>
    </row>
    <row r="335" spans="1:3" ht="24" thickBot="1" x14ac:dyDescent="0.6">
      <c r="A335" s="2" t="s">
        <v>40</v>
      </c>
      <c r="B335" s="17" t="s">
        <v>65</v>
      </c>
      <c r="C335" s="3" t="s">
        <v>15</v>
      </c>
    </row>
    <row r="336" spans="1:3" ht="23.5" x14ac:dyDescent="0.55000000000000004">
      <c r="A336" s="2" t="s">
        <v>40</v>
      </c>
      <c r="B336" s="19" t="s">
        <v>67</v>
      </c>
      <c r="C336" s="23" t="s">
        <v>15</v>
      </c>
    </row>
    <row r="337" spans="1:3" ht="23.5" x14ac:dyDescent="0.55000000000000004">
      <c r="A337" s="2" t="s">
        <v>40</v>
      </c>
      <c r="B337" s="20" t="s">
        <v>68</v>
      </c>
      <c r="C337" s="24" t="s">
        <v>15</v>
      </c>
    </row>
    <row r="338" spans="1:3" ht="23.5" x14ac:dyDescent="0.55000000000000004">
      <c r="A338" s="2" t="s">
        <v>40</v>
      </c>
      <c r="B338" s="20" t="s">
        <v>69</v>
      </c>
      <c r="C338" s="25" t="s">
        <v>15</v>
      </c>
    </row>
    <row r="339" spans="1:3" ht="23.5" x14ac:dyDescent="0.55000000000000004">
      <c r="A339" s="2" t="s">
        <v>40</v>
      </c>
      <c r="B339" s="20" t="s">
        <v>70</v>
      </c>
      <c r="C339" s="25" t="s">
        <v>15</v>
      </c>
    </row>
    <row r="340" spans="1:3" ht="23.5" x14ac:dyDescent="0.55000000000000004">
      <c r="A340" s="2" t="s">
        <v>40</v>
      </c>
      <c r="B340" s="20" t="s">
        <v>71</v>
      </c>
      <c r="C340" s="25" t="s">
        <v>16</v>
      </c>
    </row>
    <row r="341" spans="1:3" ht="23.5" x14ac:dyDescent="0.55000000000000004">
      <c r="A341" s="2" t="s">
        <v>40</v>
      </c>
      <c r="B341" s="20" t="s">
        <v>72</v>
      </c>
      <c r="C341" s="25" t="s">
        <v>16</v>
      </c>
    </row>
    <row r="342" spans="1:3" ht="24" thickBot="1" x14ac:dyDescent="0.6">
      <c r="A342" s="2" t="s">
        <v>40</v>
      </c>
      <c r="B342" s="20" t="s">
        <v>73</v>
      </c>
      <c r="C342" s="25" t="s">
        <v>16</v>
      </c>
    </row>
    <row r="343" spans="1:3" ht="24" thickBot="1" x14ac:dyDescent="0.6">
      <c r="A343" s="2" t="s">
        <v>40</v>
      </c>
      <c r="B343" s="17" t="s">
        <v>75</v>
      </c>
      <c r="C343" s="3" t="s">
        <v>15</v>
      </c>
    </row>
    <row r="344" spans="1:3" ht="24" thickBot="1" x14ac:dyDescent="0.6">
      <c r="A344" s="2" t="s">
        <v>40</v>
      </c>
      <c r="B344" s="17" t="s">
        <v>76</v>
      </c>
      <c r="C344" s="3" t="s">
        <v>15</v>
      </c>
    </row>
    <row r="345" spans="1:3" ht="24" thickBot="1" x14ac:dyDescent="0.6">
      <c r="A345" s="2" t="s">
        <v>40</v>
      </c>
      <c r="B345" s="17" t="s">
        <v>77</v>
      </c>
      <c r="C345" s="3" t="s">
        <v>16</v>
      </c>
    </row>
    <row r="346" spans="1:3" ht="24" thickBot="1" x14ac:dyDescent="0.6">
      <c r="A346" s="2" t="s">
        <v>40</v>
      </c>
      <c r="B346" s="17" t="s">
        <v>78</v>
      </c>
      <c r="C346" s="3" t="s">
        <v>15</v>
      </c>
    </row>
    <row r="347" spans="1:3" ht="24" thickBot="1" x14ac:dyDescent="0.6">
      <c r="A347" s="2" t="s">
        <v>40</v>
      </c>
      <c r="B347" s="17" t="s">
        <v>79</v>
      </c>
      <c r="C347" s="3" t="s">
        <v>15</v>
      </c>
    </row>
    <row r="348" spans="1:3" ht="24" thickBot="1" x14ac:dyDescent="0.6">
      <c r="A348" s="2" t="s">
        <v>40</v>
      </c>
      <c r="B348" s="17" t="s">
        <v>80</v>
      </c>
      <c r="C348" s="3">
        <v>2</v>
      </c>
    </row>
    <row r="349" spans="1:3" ht="24" thickBot="1" x14ac:dyDescent="0.6">
      <c r="A349" s="2" t="s">
        <v>40</v>
      </c>
      <c r="B349" s="17" t="s">
        <v>81</v>
      </c>
      <c r="C349" s="3" t="s">
        <v>93</v>
      </c>
    </row>
    <row r="350" spans="1:3" ht="24" thickBot="1" x14ac:dyDescent="0.6">
      <c r="A350" s="2" t="s">
        <v>40</v>
      </c>
      <c r="B350" s="17" t="s">
        <v>82</v>
      </c>
      <c r="C350" s="3" t="s">
        <v>95</v>
      </c>
    </row>
    <row r="351" spans="1:3" ht="24" thickBot="1" x14ac:dyDescent="0.6">
      <c r="A351" s="2" t="s">
        <v>40</v>
      </c>
      <c r="B351" s="17" t="s">
        <v>83</v>
      </c>
      <c r="C351" s="3" t="s">
        <v>15</v>
      </c>
    </row>
    <row r="352" spans="1:3" ht="24" thickBot="1" x14ac:dyDescent="0.6">
      <c r="A352" s="2" t="s">
        <v>40</v>
      </c>
      <c r="B352" s="17" t="s">
        <v>84</v>
      </c>
      <c r="C352" s="3" t="s">
        <v>88</v>
      </c>
    </row>
    <row r="353" spans="1:3" ht="23.5" x14ac:dyDescent="0.55000000000000004">
      <c r="A353" s="2" t="s">
        <v>41</v>
      </c>
      <c r="B353" s="19" t="s">
        <v>67</v>
      </c>
      <c r="C353" s="23" t="s">
        <v>15</v>
      </c>
    </row>
    <row r="354" spans="1:3" ht="23.5" x14ac:dyDescent="0.55000000000000004">
      <c r="A354" s="2" t="s">
        <v>41</v>
      </c>
      <c r="B354" s="20" t="s">
        <v>68</v>
      </c>
      <c r="C354" s="24" t="s">
        <v>15</v>
      </c>
    </row>
    <row r="355" spans="1:3" ht="23.5" x14ac:dyDescent="0.55000000000000004">
      <c r="A355" s="2" t="s">
        <v>41</v>
      </c>
      <c r="B355" s="20" t="s">
        <v>69</v>
      </c>
      <c r="C355" s="25" t="s">
        <v>15</v>
      </c>
    </row>
    <row r="356" spans="1:3" ht="23.5" x14ac:dyDescent="0.55000000000000004">
      <c r="A356" s="2" t="s">
        <v>41</v>
      </c>
      <c r="B356" s="20" t="s">
        <v>70</v>
      </c>
      <c r="C356" s="25" t="s">
        <v>15</v>
      </c>
    </row>
    <row r="357" spans="1:3" ht="23.5" x14ac:dyDescent="0.55000000000000004">
      <c r="A357" s="2" t="s">
        <v>41</v>
      </c>
      <c r="B357" s="20" t="s">
        <v>71</v>
      </c>
      <c r="C357" s="25" t="s">
        <v>15</v>
      </c>
    </row>
    <row r="358" spans="1:3" ht="23.5" x14ac:dyDescent="0.55000000000000004">
      <c r="A358" s="2" t="s">
        <v>41</v>
      </c>
      <c r="B358" s="20" t="s">
        <v>72</v>
      </c>
      <c r="C358" s="25" t="s">
        <v>15</v>
      </c>
    </row>
    <row r="359" spans="1:3" ht="24" thickBot="1" x14ac:dyDescent="0.6">
      <c r="A359" s="2" t="s">
        <v>41</v>
      </c>
      <c r="B359" s="20" t="s">
        <v>73</v>
      </c>
      <c r="C359" s="25" t="s">
        <v>15</v>
      </c>
    </row>
    <row r="360" spans="1:3" ht="24" thickBot="1" x14ac:dyDescent="0.6">
      <c r="A360" s="2" t="s">
        <v>41</v>
      </c>
      <c r="B360" s="17" t="s">
        <v>75</v>
      </c>
      <c r="C360" s="3" t="s">
        <v>15</v>
      </c>
    </row>
    <row r="361" spans="1:3" ht="24" thickBot="1" x14ac:dyDescent="0.6">
      <c r="A361" s="2" t="s">
        <v>41</v>
      </c>
      <c r="B361" s="17" t="s">
        <v>76</v>
      </c>
      <c r="C361" s="3" t="s">
        <v>15</v>
      </c>
    </row>
    <row r="362" spans="1:3" ht="24" thickBot="1" x14ac:dyDescent="0.6">
      <c r="A362" s="2" t="s">
        <v>41</v>
      </c>
      <c r="B362" s="17" t="s">
        <v>77</v>
      </c>
      <c r="C362" s="3" t="s">
        <v>15</v>
      </c>
    </row>
    <row r="363" spans="1:3" ht="24" thickBot="1" x14ac:dyDescent="0.6">
      <c r="A363" s="2" t="s">
        <v>41</v>
      </c>
      <c r="B363" s="17" t="s">
        <v>78</v>
      </c>
      <c r="C363" s="3" t="s">
        <v>20</v>
      </c>
    </row>
    <row r="364" spans="1:3" ht="24" thickBot="1" x14ac:dyDescent="0.6">
      <c r="A364" s="2" t="s">
        <v>41</v>
      </c>
      <c r="B364" s="17" t="s">
        <v>79</v>
      </c>
      <c r="C364" s="3" t="s">
        <v>15</v>
      </c>
    </row>
    <row r="365" spans="1:3" ht="24" thickBot="1" x14ac:dyDescent="0.6">
      <c r="A365" s="2" t="s">
        <v>41</v>
      </c>
      <c r="B365" s="17" t="s">
        <v>80</v>
      </c>
      <c r="C365" s="3">
        <v>3</v>
      </c>
    </row>
    <row r="366" spans="1:3" ht="24" thickBot="1" x14ac:dyDescent="0.6">
      <c r="A366" s="2" t="s">
        <v>41</v>
      </c>
      <c r="B366" s="17" t="s">
        <v>81</v>
      </c>
      <c r="C366" s="3" t="s">
        <v>93</v>
      </c>
    </row>
    <row r="367" spans="1:3" ht="24" thickBot="1" x14ac:dyDescent="0.6">
      <c r="A367" s="2" t="s">
        <v>41</v>
      </c>
      <c r="B367" s="17" t="s">
        <v>82</v>
      </c>
      <c r="C367" s="3" t="s">
        <v>95</v>
      </c>
    </row>
    <row r="368" spans="1:3" ht="24" thickBot="1" x14ac:dyDescent="0.6">
      <c r="A368" s="2" t="s">
        <v>41</v>
      </c>
      <c r="B368" s="17" t="s">
        <v>83</v>
      </c>
      <c r="C368" s="3" t="s">
        <v>15</v>
      </c>
    </row>
    <row r="369" spans="1:3" ht="24" thickBot="1" x14ac:dyDescent="0.6">
      <c r="A369" s="2" t="s">
        <v>41</v>
      </c>
      <c r="B369" s="17" t="s">
        <v>84</v>
      </c>
      <c r="C369" s="3" t="s">
        <v>88</v>
      </c>
    </row>
    <row r="370" spans="1:3" ht="24" thickBot="1" x14ac:dyDescent="0.6">
      <c r="A370" s="2" t="s">
        <v>42</v>
      </c>
      <c r="B370" s="17" t="s">
        <v>65</v>
      </c>
      <c r="C370" s="3" t="s">
        <v>15</v>
      </c>
    </row>
    <row r="371" spans="1:3" ht="23.5" x14ac:dyDescent="0.55000000000000004">
      <c r="A371" s="2" t="s">
        <v>42</v>
      </c>
      <c r="B371" s="19" t="s">
        <v>67</v>
      </c>
      <c r="C371" s="23" t="s">
        <v>15</v>
      </c>
    </row>
    <row r="372" spans="1:3" ht="23.5" x14ac:dyDescent="0.55000000000000004">
      <c r="A372" s="2" t="s">
        <v>42</v>
      </c>
      <c r="B372" s="20" t="s">
        <v>68</v>
      </c>
      <c r="C372" s="24" t="s">
        <v>15</v>
      </c>
    </row>
    <row r="373" spans="1:3" ht="23.5" x14ac:dyDescent="0.55000000000000004">
      <c r="A373" s="2" t="s">
        <v>42</v>
      </c>
      <c r="B373" s="20" t="s">
        <v>69</v>
      </c>
      <c r="C373" s="25" t="s">
        <v>15</v>
      </c>
    </row>
    <row r="374" spans="1:3" ht="23.5" x14ac:dyDescent="0.55000000000000004">
      <c r="A374" s="2" t="s">
        <v>42</v>
      </c>
      <c r="B374" s="20" t="s">
        <v>70</v>
      </c>
      <c r="C374" s="25" t="s">
        <v>15</v>
      </c>
    </row>
    <row r="375" spans="1:3" ht="23.5" x14ac:dyDescent="0.55000000000000004">
      <c r="A375" s="2" t="s">
        <v>42</v>
      </c>
      <c r="B375" s="20" t="s">
        <v>71</v>
      </c>
      <c r="C375" s="25" t="s">
        <v>15</v>
      </c>
    </row>
    <row r="376" spans="1:3" ht="23.5" x14ac:dyDescent="0.55000000000000004">
      <c r="A376" s="2" t="s">
        <v>42</v>
      </c>
      <c r="B376" s="20" t="s">
        <v>72</v>
      </c>
      <c r="C376" s="25" t="s">
        <v>15</v>
      </c>
    </row>
    <row r="377" spans="1:3" ht="24" thickBot="1" x14ac:dyDescent="0.6">
      <c r="A377" s="2" t="s">
        <v>42</v>
      </c>
      <c r="B377" s="20" t="s">
        <v>73</v>
      </c>
      <c r="C377" s="25" t="s">
        <v>15</v>
      </c>
    </row>
    <row r="378" spans="1:3" ht="24" thickBot="1" x14ac:dyDescent="0.6">
      <c r="A378" s="2" t="s">
        <v>42</v>
      </c>
      <c r="B378" s="17" t="s">
        <v>75</v>
      </c>
      <c r="C378" s="3" t="s">
        <v>15</v>
      </c>
    </row>
    <row r="379" spans="1:3" ht="24" thickBot="1" x14ac:dyDescent="0.6">
      <c r="A379" s="2" t="s">
        <v>42</v>
      </c>
      <c r="B379" s="17" t="s">
        <v>76</v>
      </c>
      <c r="C379" s="3" t="s">
        <v>15</v>
      </c>
    </row>
    <row r="380" spans="1:3" ht="24" thickBot="1" x14ac:dyDescent="0.6">
      <c r="A380" s="2" t="s">
        <v>42</v>
      </c>
      <c r="B380" s="17" t="s">
        <v>77</v>
      </c>
      <c r="C380" s="3" t="s">
        <v>15</v>
      </c>
    </row>
    <row r="381" spans="1:3" ht="24" thickBot="1" x14ac:dyDescent="0.6">
      <c r="A381" s="2" t="s">
        <v>42</v>
      </c>
      <c r="B381" s="17" t="s">
        <v>78</v>
      </c>
      <c r="C381" s="3" t="s">
        <v>16</v>
      </c>
    </row>
    <row r="382" spans="1:3" ht="24" thickBot="1" x14ac:dyDescent="0.6">
      <c r="A382" s="2" t="s">
        <v>42</v>
      </c>
      <c r="B382" s="17" t="s">
        <v>79</v>
      </c>
      <c r="C382" s="3" t="s">
        <v>15</v>
      </c>
    </row>
    <row r="383" spans="1:3" ht="24" thickBot="1" x14ac:dyDescent="0.6">
      <c r="A383" s="2" t="s">
        <v>42</v>
      </c>
      <c r="B383" s="17" t="s">
        <v>80</v>
      </c>
      <c r="C383" s="3">
        <v>0</v>
      </c>
    </row>
    <row r="384" spans="1:3" ht="24" thickBot="1" x14ac:dyDescent="0.6">
      <c r="A384" s="2" t="s">
        <v>42</v>
      </c>
      <c r="B384" s="17" t="s">
        <v>83</v>
      </c>
      <c r="C384" s="3" t="s">
        <v>15</v>
      </c>
    </row>
    <row r="385" spans="1:3" ht="24" thickBot="1" x14ac:dyDescent="0.6">
      <c r="A385" s="2" t="s">
        <v>42</v>
      </c>
      <c r="B385" s="17" t="s">
        <v>84</v>
      </c>
      <c r="C385" s="3" t="s">
        <v>92</v>
      </c>
    </row>
    <row r="386" spans="1:3" ht="23.5" x14ac:dyDescent="0.55000000000000004">
      <c r="A386" s="2" t="s">
        <v>43</v>
      </c>
      <c r="B386" s="19" t="s">
        <v>67</v>
      </c>
      <c r="C386" s="23" t="s">
        <v>15</v>
      </c>
    </row>
    <row r="387" spans="1:3" ht="23.5" x14ac:dyDescent="0.55000000000000004">
      <c r="A387" s="2" t="s">
        <v>43</v>
      </c>
      <c r="B387" s="20" t="s">
        <v>68</v>
      </c>
      <c r="C387" s="24" t="s">
        <v>15</v>
      </c>
    </row>
    <row r="388" spans="1:3" ht="23.5" x14ac:dyDescent="0.55000000000000004">
      <c r="A388" s="2" t="s">
        <v>43</v>
      </c>
      <c r="B388" s="20" t="s">
        <v>69</v>
      </c>
      <c r="C388" s="25" t="s">
        <v>15</v>
      </c>
    </row>
    <row r="389" spans="1:3" ht="23.5" x14ac:dyDescent="0.55000000000000004">
      <c r="A389" s="2" t="s">
        <v>43</v>
      </c>
      <c r="B389" s="20" t="s">
        <v>70</v>
      </c>
      <c r="C389" s="25" t="s">
        <v>15</v>
      </c>
    </row>
    <row r="390" spans="1:3" ht="23.5" x14ac:dyDescent="0.55000000000000004">
      <c r="A390" s="2" t="s">
        <v>43</v>
      </c>
      <c r="B390" s="20" t="s">
        <v>71</v>
      </c>
      <c r="C390" s="25" t="s">
        <v>15</v>
      </c>
    </row>
    <row r="391" spans="1:3" ht="24" thickBot="1" x14ac:dyDescent="0.6">
      <c r="A391" s="2" t="s">
        <v>43</v>
      </c>
      <c r="B391" s="20" t="s">
        <v>72</v>
      </c>
      <c r="C391" s="25" t="s">
        <v>15</v>
      </c>
    </row>
    <row r="392" spans="1:3" ht="24" thickBot="1" x14ac:dyDescent="0.6">
      <c r="A392" s="2" t="s">
        <v>43</v>
      </c>
      <c r="B392" s="17" t="s">
        <v>75</v>
      </c>
      <c r="C392" s="3" t="s">
        <v>15</v>
      </c>
    </row>
    <row r="393" spans="1:3" ht="24" thickBot="1" x14ac:dyDescent="0.6">
      <c r="A393" s="2" t="s">
        <v>43</v>
      </c>
      <c r="B393" s="17" t="s">
        <v>76</v>
      </c>
      <c r="C393" s="3" t="s">
        <v>15</v>
      </c>
    </row>
    <row r="394" spans="1:3" ht="24" thickBot="1" x14ac:dyDescent="0.6">
      <c r="A394" s="2" t="s">
        <v>43</v>
      </c>
      <c r="B394" s="17" t="s">
        <v>77</v>
      </c>
      <c r="C394" s="3" t="s">
        <v>16</v>
      </c>
    </row>
    <row r="395" spans="1:3" ht="24" thickBot="1" x14ac:dyDescent="0.6">
      <c r="A395" s="2" t="s">
        <v>43</v>
      </c>
      <c r="B395" s="17" t="s">
        <v>78</v>
      </c>
      <c r="C395" s="3" t="s">
        <v>15</v>
      </c>
    </row>
    <row r="396" spans="1:3" ht="24" thickBot="1" x14ac:dyDescent="0.6">
      <c r="A396" s="2" t="s">
        <v>43</v>
      </c>
      <c r="B396" s="17" t="s">
        <v>79</v>
      </c>
      <c r="C396" s="3" t="s">
        <v>15</v>
      </c>
    </row>
    <row r="397" spans="1:3" ht="24" thickBot="1" x14ac:dyDescent="0.6">
      <c r="A397" s="2" t="s">
        <v>43</v>
      </c>
      <c r="B397" s="17" t="s">
        <v>83</v>
      </c>
      <c r="C397" s="3" t="s">
        <v>15</v>
      </c>
    </row>
    <row r="398" spans="1:3" ht="24" thickBot="1" x14ac:dyDescent="0.6">
      <c r="A398" s="2" t="s">
        <v>43</v>
      </c>
      <c r="B398" s="17" t="s">
        <v>84</v>
      </c>
      <c r="C398" s="3" t="s">
        <v>89</v>
      </c>
    </row>
    <row r="399" spans="1:3" ht="24" thickBot="1" x14ac:dyDescent="0.6">
      <c r="A399" s="2" t="s">
        <v>44</v>
      </c>
      <c r="B399" s="18" t="s">
        <v>66</v>
      </c>
      <c r="C399" s="22" t="s">
        <v>98</v>
      </c>
    </row>
    <row r="400" spans="1:3" ht="23.5" x14ac:dyDescent="0.55000000000000004">
      <c r="A400" s="2" t="s">
        <v>44</v>
      </c>
      <c r="B400" s="19" t="s">
        <v>67</v>
      </c>
      <c r="C400" s="23" t="s">
        <v>15</v>
      </c>
    </row>
    <row r="401" spans="1:3" ht="23.5" x14ac:dyDescent="0.55000000000000004">
      <c r="A401" s="2" t="s">
        <v>44</v>
      </c>
      <c r="B401" s="20" t="s">
        <v>68</v>
      </c>
      <c r="C401" s="24" t="s">
        <v>15</v>
      </c>
    </row>
    <row r="402" spans="1:3" ht="23.5" x14ac:dyDescent="0.55000000000000004">
      <c r="A402" s="2" t="s">
        <v>44</v>
      </c>
      <c r="B402" s="20" t="s">
        <v>69</v>
      </c>
      <c r="C402" s="25" t="s">
        <v>16</v>
      </c>
    </row>
    <row r="403" spans="1:3" ht="23.5" x14ac:dyDescent="0.55000000000000004">
      <c r="A403" s="2" t="s">
        <v>44</v>
      </c>
      <c r="B403" s="20" t="s">
        <v>70</v>
      </c>
      <c r="C403" s="25" t="s">
        <v>15</v>
      </c>
    </row>
    <row r="404" spans="1:3" ht="23.5" x14ac:dyDescent="0.55000000000000004">
      <c r="A404" s="2" t="s">
        <v>44</v>
      </c>
      <c r="B404" s="20" t="s">
        <v>71</v>
      </c>
      <c r="C404" s="25" t="s">
        <v>15</v>
      </c>
    </row>
    <row r="405" spans="1:3" ht="23.5" x14ac:dyDescent="0.55000000000000004">
      <c r="A405" s="2" t="s">
        <v>44</v>
      </c>
      <c r="B405" s="20" t="s">
        <v>72</v>
      </c>
      <c r="C405" s="25" t="s">
        <v>16</v>
      </c>
    </row>
    <row r="406" spans="1:3" ht="23.5" x14ac:dyDescent="0.55000000000000004">
      <c r="A406" s="2" t="s">
        <v>44</v>
      </c>
      <c r="B406" s="20" t="s">
        <v>73</v>
      </c>
      <c r="C406" s="25" t="s">
        <v>16</v>
      </c>
    </row>
    <row r="407" spans="1:3" ht="24" thickBot="1" x14ac:dyDescent="0.6">
      <c r="A407" s="2" t="s">
        <v>44</v>
      </c>
      <c r="B407" s="20" t="s">
        <v>74</v>
      </c>
      <c r="C407" s="24" t="s">
        <v>99</v>
      </c>
    </row>
    <row r="408" spans="1:3" ht="24" thickBot="1" x14ac:dyDescent="0.6">
      <c r="A408" s="2" t="s">
        <v>44</v>
      </c>
      <c r="B408" s="17" t="s">
        <v>75</v>
      </c>
      <c r="C408" s="3" t="s">
        <v>15</v>
      </c>
    </row>
    <row r="409" spans="1:3" ht="24" thickBot="1" x14ac:dyDescent="0.6">
      <c r="A409" s="2" t="s">
        <v>44</v>
      </c>
      <c r="B409" s="17" t="s">
        <v>76</v>
      </c>
      <c r="C409" s="3" t="s">
        <v>15</v>
      </c>
    </row>
    <row r="410" spans="1:3" ht="24" thickBot="1" x14ac:dyDescent="0.6">
      <c r="A410" s="2" t="s">
        <v>44</v>
      </c>
      <c r="B410" s="17" t="s">
        <v>77</v>
      </c>
      <c r="C410" s="3" t="s">
        <v>15</v>
      </c>
    </row>
    <row r="411" spans="1:3" ht="24" thickBot="1" x14ac:dyDescent="0.6">
      <c r="A411" s="2" t="s">
        <v>44</v>
      </c>
      <c r="B411" s="17" t="s">
        <v>78</v>
      </c>
      <c r="C411" s="3" t="s">
        <v>16</v>
      </c>
    </row>
    <row r="412" spans="1:3" ht="24" thickBot="1" x14ac:dyDescent="0.6">
      <c r="A412" s="2" t="s">
        <v>44</v>
      </c>
      <c r="B412" s="17" t="s">
        <v>79</v>
      </c>
      <c r="C412" s="3" t="s">
        <v>16</v>
      </c>
    </row>
    <row r="413" spans="1:3" ht="24" thickBot="1" x14ac:dyDescent="0.6">
      <c r="A413" s="2" t="s">
        <v>44</v>
      </c>
      <c r="B413" s="17" t="s">
        <v>81</v>
      </c>
      <c r="C413" s="3" t="s">
        <v>86</v>
      </c>
    </row>
    <row r="414" spans="1:3" ht="24" thickBot="1" x14ac:dyDescent="0.6">
      <c r="A414" s="2" t="s">
        <v>44</v>
      </c>
      <c r="B414" s="17" t="s">
        <v>82</v>
      </c>
      <c r="C414" s="3" t="s">
        <v>95</v>
      </c>
    </row>
    <row r="415" spans="1:3" ht="24" thickBot="1" x14ac:dyDescent="0.6">
      <c r="A415" s="2" t="s">
        <v>44</v>
      </c>
      <c r="B415" s="17" t="s">
        <v>83</v>
      </c>
      <c r="C415" s="3" t="s">
        <v>15</v>
      </c>
    </row>
    <row r="416" spans="1:3" ht="24" thickBot="1" x14ac:dyDescent="0.6">
      <c r="A416" s="2" t="s">
        <v>44</v>
      </c>
      <c r="B416" s="17" t="s">
        <v>84</v>
      </c>
      <c r="C416" s="3" t="s">
        <v>88</v>
      </c>
    </row>
    <row r="417" spans="1:3" ht="24" thickBot="1" x14ac:dyDescent="0.6">
      <c r="A417" s="2" t="s">
        <v>45</v>
      </c>
      <c r="B417" s="17" t="s">
        <v>65</v>
      </c>
      <c r="C417" s="3" t="s">
        <v>15</v>
      </c>
    </row>
    <row r="418" spans="1:3" ht="23.5" x14ac:dyDescent="0.55000000000000004">
      <c r="A418" s="2" t="s">
        <v>45</v>
      </c>
      <c r="B418" s="19" t="s">
        <v>67</v>
      </c>
      <c r="C418" s="23" t="s">
        <v>15</v>
      </c>
    </row>
    <row r="419" spans="1:3" ht="23.5" x14ac:dyDescent="0.55000000000000004">
      <c r="A419" s="2" t="s">
        <v>45</v>
      </c>
      <c r="B419" s="20" t="s">
        <v>68</v>
      </c>
      <c r="C419" s="24" t="s">
        <v>15</v>
      </c>
    </row>
    <row r="420" spans="1:3" ht="23.5" x14ac:dyDescent="0.55000000000000004">
      <c r="A420" s="2" t="s">
        <v>45</v>
      </c>
      <c r="B420" s="20" t="s">
        <v>69</v>
      </c>
      <c r="C420" s="25" t="s">
        <v>15</v>
      </c>
    </row>
    <row r="421" spans="1:3" ht="23.5" x14ac:dyDescent="0.55000000000000004">
      <c r="A421" s="2" t="s">
        <v>45</v>
      </c>
      <c r="B421" s="20" t="s">
        <v>70</v>
      </c>
      <c r="C421" s="25" t="s">
        <v>15</v>
      </c>
    </row>
    <row r="422" spans="1:3" ht="23.5" x14ac:dyDescent="0.55000000000000004">
      <c r="A422" s="2" t="s">
        <v>45</v>
      </c>
      <c r="B422" s="20" t="s">
        <v>71</v>
      </c>
      <c r="C422" s="25" t="s">
        <v>15</v>
      </c>
    </row>
    <row r="423" spans="1:3" ht="23.5" x14ac:dyDescent="0.55000000000000004">
      <c r="A423" s="2" t="s">
        <v>45</v>
      </c>
      <c r="B423" s="20" t="s">
        <v>72</v>
      </c>
      <c r="C423" s="25" t="s">
        <v>15</v>
      </c>
    </row>
    <row r="424" spans="1:3" ht="24" thickBot="1" x14ac:dyDescent="0.6">
      <c r="A424" s="2" t="s">
        <v>45</v>
      </c>
      <c r="B424" s="20" t="s">
        <v>73</v>
      </c>
      <c r="C424" s="25" t="s">
        <v>15</v>
      </c>
    </row>
    <row r="425" spans="1:3" ht="24" thickBot="1" x14ac:dyDescent="0.6">
      <c r="A425" s="2" t="s">
        <v>45</v>
      </c>
      <c r="B425" s="17" t="s">
        <v>75</v>
      </c>
      <c r="C425" s="3" t="s">
        <v>15</v>
      </c>
    </row>
    <row r="426" spans="1:3" ht="24" thickBot="1" x14ac:dyDescent="0.6">
      <c r="A426" s="2" t="s">
        <v>45</v>
      </c>
      <c r="B426" s="17" t="s">
        <v>76</v>
      </c>
      <c r="C426" s="3" t="s">
        <v>15</v>
      </c>
    </row>
    <row r="427" spans="1:3" ht="24" thickBot="1" x14ac:dyDescent="0.6">
      <c r="A427" s="2" t="s">
        <v>45</v>
      </c>
      <c r="B427" s="17" t="s">
        <v>77</v>
      </c>
      <c r="C427" s="3" t="s">
        <v>15</v>
      </c>
    </row>
    <row r="428" spans="1:3" ht="24" thickBot="1" x14ac:dyDescent="0.6">
      <c r="A428" s="2" t="s">
        <v>45</v>
      </c>
      <c r="B428" s="17" t="s">
        <v>78</v>
      </c>
      <c r="C428" s="3" t="s">
        <v>16</v>
      </c>
    </row>
    <row r="429" spans="1:3" ht="24" thickBot="1" x14ac:dyDescent="0.6">
      <c r="A429" s="2" t="s">
        <v>45</v>
      </c>
      <c r="B429" s="17" t="s">
        <v>79</v>
      </c>
      <c r="C429" s="3" t="s">
        <v>15</v>
      </c>
    </row>
    <row r="430" spans="1:3" ht="24" thickBot="1" x14ac:dyDescent="0.6">
      <c r="A430" s="2" t="s">
        <v>45</v>
      </c>
      <c r="B430" s="17" t="s">
        <v>80</v>
      </c>
      <c r="C430" s="3">
        <v>17</v>
      </c>
    </row>
    <row r="431" spans="1:3" ht="24" thickBot="1" x14ac:dyDescent="0.6">
      <c r="A431" s="2" t="s">
        <v>45</v>
      </c>
      <c r="B431" s="17" t="s">
        <v>81</v>
      </c>
      <c r="C431" s="3" t="s">
        <v>91</v>
      </c>
    </row>
    <row r="432" spans="1:3" ht="24" thickBot="1" x14ac:dyDescent="0.6">
      <c r="A432" s="2" t="s">
        <v>45</v>
      </c>
      <c r="B432" s="17" t="s">
        <v>82</v>
      </c>
      <c r="C432" s="3" t="s">
        <v>100</v>
      </c>
    </row>
    <row r="433" spans="1:3" ht="24" thickBot="1" x14ac:dyDescent="0.6">
      <c r="A433" s="2" t="s">
        <v>45</v>
      </c>
      <c r="B433" s="17" t="s">
        <v>83</v>
      </c>
      <c r="C433" s="3" t="s">
        <v>15</v>
      </c>
    </row>
    <row r="434" spans="1:3" ht="24" thickBot="1" x14ac:dyDescent="0.6">
      <c r="A434" s="2" t="s">
        <v>45</v>
      </c>
      <c r="B434" s="17" t="s">
        <v>84</v>
      </c>
      <c r="C434" s="3" t="s">
        <v>101</v>
      </c>
    </row>
    <row r="435" spans="1:3" ht="24" thickBot="1" x14ac:dyDescent="0.6">
      <c r="A435" s="2" t="s">
        <v>46</v>
      </c>
      <c r="B435" s="18" t="s">
        <v>66</v>
      </c>
      <c r="C435" s="22" t="s">
        <v>98</v>
      </c>
    </row>
    <row r="436" spans="1:3" ht="23.5" x14ac:dyDescent="0.55000000000000004">
      <c r="A436" s="2" t="s">
        <v>46</v>
      </c>
      <c r="B436" s="19" t="s">
        <v>67</v>
      </c>
      <c r="C436" s="23" t="s">
        <v>98</v>
      </c>
    </row>
    <row r="437" spans="1:3" ht="23.5" x14ac:dyDescent="0.55000000000000004">
      <c r="A437" s="2" t="s">
        <v>46</v>
      </c>
      <c r="B437" s="20" t="s">
        <v>68</v>
      </c>
      <c r="C437" s="24" t="s">
        <v>98</v>
      </c>
    </row>
    <row r="438" spans="1:3" ht="23.5" x14ac:dyDescent="0.55000000000000004">
      <c r="A438" s="2" t="s">
        <v>46</v>
      </c>
      <c r="B438" s="20" t="s">
        <v>69</v>
      </c>
      <c r="C438" s="25" t="s">
        <v>98</v>
      </c>
    </row>
    <row r="439" spans="1:3" ht="23.5" x14ac:dyDescent="0.55000000000000004">
      <c r="A439" s="2" t="s">
        <v>46</v>
      </c>
      <c r="B439" s="20" t="s">
        <v>70</v>
      </c>
      <c r="C439" s="25" t="s">
        <v>98</v>
      </c>
    </row>
    <row r="440" spans="1:3" ht="23.5" x14ac:dyDescent="0.55000000000000004">
      <c r="A440" s="2" t="s">
        <v>46</v>
      </c>
      <c r="B440" s="20" t="s">
        <v>71</v>
      </c>
      <c r="C440" s="25" t="s">
        <v>98</v>
      </c>
    </row>
    <row r="441" spans="1:3" ht="23.5" x14ac:dyDescent="0.55000000000000004">
      <c r="A441" s="2" t="s">
        <v>46</v>
      </c>
      <c r="B441" s="20" t="s">
        <v>72</v>
      </c>
      <c r="C441" s="25" t="s">
        <v>98</v>
      </c>
    </row>
    <row r="442" spans="1:3" ht="24" thickBot="1" x14ac:dyDescent="0.6">
      <c r="A442" s="2" t="s">
        <v>46</v>
      </c>
      <c r="B442" s="20" t="s">
        <v>73</v>
      </c>
      <c r="C442" s="25" t="s">
        <v>98</v>
      </c>
    </row>
    <row r="443" spans="1:3" ht="24" thickBot="1" x14ac:dyDescent="0.6">
      <c r="A443" s="2" t="s">
        <v>46</v>
      </c>
      <c r="B443" s="17" t="s">
        <v>75</v>
      </c>
      <c r="C443" s="3" t="s">
        <v>15</v>
      </c>
    </row>
    <row r="444" spans="1:3" ht="24" thickBot="1" x14ac:dyDescent="0.6">
      <c r="A444" s="2" t="s">
        <v>46</v>
      </c>
      <c r="B444" s="17" t="s">
        <v>76</v>
      </c>
      <c r="C444" s="3" t="s">
        <v>16</v>
      </c>
    </row>
    <row r="445" spans="1:3" ht="24" thickBot="1" x14ac:dyDescent="0.6">
      <c r="A445" s="2" t="s">
        <v>46</v>
      </c>
      <c r="B445" s="17" t="s">
        <v>77</v>
      </c>
      <c r="C445" s="3" t="s">
        <v>16</v>
      </c>
    </row>
    <row r="446" spans="1:3" ht="24" thickBot="1" x14ac:dyDescent="0.6">
      <c r="A446" s="2" t="s">
        <v>46</v>
      </c>
      <c r="B446" s="17" t="s">
        <v>78</v>
      </c>
      <c r="C446" s="3" t="s">
        <v>15</v>
      </c>
    </row>
    <row r="447" spans="1:3" ht="24" thickBot="1" x14ac:dyDescent="0.6">
      <c r="A447" s="2" t="s">
        <v>46</v>
      </c>
      <c r="B447" s="17" t="s">
        <v>79</v>
      </c>
      <c r="C447" s="3" t="s">
        <v>16</v>
      </c>
    </row>
    <row r="448" spans="1:3" ht="24" thickBot="1" x14ac:dyDescent="0.6">
      <c r="A448" s="2" t="s">
        <v>46</v>
      </c>
      <c r="B448" s="17" t="s">
        <v>80</v>
      </c>
      <c r="C448" s="3" t="s">
        <v>102</v>
      </c>
    </row>
    <row r="449" spans="1:3" ht="24" thickBot="1" x14ac:dyDescent="0.6">
      <c r="A449" s="2" t="s">
        <v>46</v>
      </c>
      <c r="B449" s="17" t="s">
        <v>83</v>
      </c>
      <c r="C449" s="3" t="s">
        <v>15</v>
      </c>
    </row>
    <row r="450" spans="1:3" ht="24" thickBot="1" x14ac:dyDescent="0.6">
      <c r="A450" s="2" t="s">
        <v>46</v>
      </c>
      <c r="B450" s="17" t="s">
        <v>84</v>
      </c>
      <c r="C450" s="3" t="s">
        <v>92</v>
      </c>
    </row>
    <row r="451" spans="1:3" ht="24" thickBot="1" x14ac:dyDescent="0.6">
      <c r="A451" s="2" t="s">
        <v>47</v>
      </c>
      <c r="B451" s="17" t="s">
        <v>65</v>
      </c>
      <c r="C451" s="3" t="s">
        <v>15</v>
      </c>
    </row>
    <row r="452" spans="1:3" ht="23.5" x14ac:dyDescent="0.55000000000000004">
      <c r="A452" s="2" t="s">
        <v>47</v>
      </c>
      <c r="B452" s="19" t="s">
        <v>67</v>
      </c>
      <c r="C452" s="23" t="s">
        <v>15</v>
      </c>
    </row>
    <row r="453" spans="1:3" ht="23.5" x14ac:dyDescent="0.55000000000000004">
      <c r="A453" s="2" t="s">
        <v>47</v>
      </c>
      <c r="B453" s="20" t="s">
        <v>68</v>
      </c>
      <c r="C453" s="24" t="s">
        <v>15</v>
      </c>
    </row>
    <row r="454" spans="1:3" ht="23.5" x14ac:dyDescent="0.55000000000000004">
      <c r="A454" s="2" t="s">
        <v>47</v>
      </c>
      <c r="B454" s="20" t="s">
        <v>69</v>
      </c>
      <c r="C454" s="25" t="s">
        <v>15</v>
      </c>
    </row>
    <row r="455" spans="1:3" ht="23.5" x14ac:dyDescent="0.55000000000000004">
      <c r="A455" s="2" t="s">
        <v>47</v>
      </c>
      <c r="B455" s="20" t="s">
        <v>70</v>
      </c>
      <c r="C455" s="25" t="s">
        <v>15</v>
      </c>
    </row>
    <row r="456" spans="1:3" ht="23.5" x14ac:dyDescent="0.55000000000000004">
      <c r="A456" s="2" t="s">
        <v>47</v>
      </c>
      <c r="B456" s="20" t="s">
        <v>71</v>
      </c>
      <c r="C456" s="25" t="s">
        <v>15</v>
      </c>
    </row>
    <row r="457" spans="1:3" ht="23.5" x14ac:dyDescent="0.55000000000000004">
      <c r="A457" s="2" t="s">
        <v>47</v>
      </c>
      <c r="B457" s="20" t="s">
        <v>72</v>
      </c>
      <c r="C457" s="25" t="s">
        <v>16</v>
      </c>
    </row>
    <row r="458" spans="1:3" ht="24" thickBot="1" x14ac:dyDescent="0.6">
      <c r="A458" s="2" t="s">
        <v>47</v>
      </c>
      <c r="B458" s="20" t="s">
        <v>73</v>
      </c>
      <c r="C458" s="25" t="s">
        <v>15</v>
      </c>
    </row>
    <row r="459" spans="1:3" ht="24" thickBot="1" x14ac:dyDescent="0.6">
      <c r="A459" s="2" t="s">
        <v>47</v>
      </c>
      <c r="B459" s="17" t="s">
        <v>75</v>
      </c>
      <c r="C459" s="3" t="s">
        <v>15</v>
      </c>
    </row>
    <row r="460" spans="1:3" ht="24" thickBot="1" x14ac:dyDescent="0.6">
      <c r="A460" s="2" t="s">
        <v>47</v>
      </c>
      <c r="B460" s="17" t="s">
        <v>76</v>
      </c>
      <c r="C460" s="3" t="s">
        <v>15</v>
      </c>
    </row>
    <row r="461" spans="1:3" ht="24" thickBot="1" x14ac:dyDescent="0.6">
      <c r="A461" s="2" t="s">
        <v>47</v>
      </c>
      <c r="B461" s="17" t="s">
        <v>77</v>
      </c>
      <c r="C461" s="3" t="s">
        <v>15</v>
      </c>
    </row>
    <row r="462" spans="1:3" ht="24" thickBot="1" x14ac:dyDescent="0.6">
      <c r="A462" s="2" t="s">
        <v>47</v>
      </c>
      <c r="B462" s="17" t="s">
        <v>78</v>
      </c>
      <c r="C462" s="3" t="s">
        <v>15</v>
      </c>
    </row>
    <row r="463" spans="1:3" ht="24" thickBot="1" x14ac:dyDescent="0.6">
      <c r="A463" s="2" t="s">
        <v>47</v>
      </c>
      <c r="B463" s="17" t="s">
        <v>79</v>
      </c>
      <c r="C463" s="3" t="s">
        <v>16</v>
      </c>
    </row>
    <row r="464" spans="1:3" ht="24" thickBot="1" x14ac:dyDescent="0.6">
      <c r="A464" s="2" t="s">
        <v>47</v>
      </c>
      <c r="B464" s="17" t="s">
        <v>80</v>
      </c>
      <c r="C464" s="3">
        <v>1</v>
      </c>
    </row>
    <row r="465" spans="1:3" ht="24" thickBot="1" x14ac:dyDescent="0.6">
      <c r="A465" s="2" t="s">
        <v>47</v>
      </c>
      <c r="B465" s="17" t="s">
        <v>81</v>
      </c>
      <c r="C465" s="3" t="s">
        <v>86</v>
      </c>
    </row>
    <row r="466" spans="1:3" ht="24" thickBot="1" x14ac:dyDescent="0.6">
      <c r="A466" s="2" t="s">
        <v>47</v>
      </c>
      <c r="B466" s="17" t="s">
        <v>82</v>
      </c>
      <c r="C466" s="3" t="s">
        <v>87</v>
      </c>
    </row>
    <row r="467" spans="1:3" ht="24" thickBot="1" x14ac:dyDescent="0.6">
      <c r="A467" s="2" t="s">
        <v>47</v>
      </c>
      <c r="B467" s="17" t="s">
        <v>83</v>
      </c>
      <c r="C467" s="3" t="s">
        <v>15</v>
      </c>
    </row>
    <row r="468" spans="1:3" ht="24" thickBot="1" x14ac:dyDescent="0.6">
      <c r="A468" s="2" t="s">
        <v>47</v>
      </c>
      <c r="B468" s="17" t="s">
        <v>84</v>
      </c>
      <c r="C468" s="3" t="s">
        <v>88</v>
      </c>
    </row>
    <row r="469" spans="1:3" ht="24" thickBot="1" x14ac:dyDescent="0.6">
      <c r="A469" s="2" t="s">
        <v>48</v>
      </c>
      <c r="B469" s="17" t="s">
        <v>65</v>
      </c>
      <c r="C469" s="3" t="s">
        <v>15</v>
      </c>
    </row>
    <row r="470" spans="1:3" ht="23.5" x14ac:dyDescent="0.55000000000000004">
      <c r="A470" s="2" t="s">
        <v>48</v>
      </c>
      <c r="B470" s="19" t="s">
        <v>67</v>
      </c>
      <c r="C470" s="23" t="s">
        <v>16</v>
      </c>
    </row>
    <row r="471" spans="1:3" ht="23.5" x14ac:dyDescent="0.55000000000000004">
      <c r="A471" s="2" t="s">
        <v>48</v>
      </c>
      <c r="B471" s="20" t="s">
        <v>68</v>
      </c>
      <c r="C471" s="24" t="s">
        <v>15</v>
      </c>
    </row>
    <row r="472" spans="1:3" ht="23.5" x14ac:dyDescent="0.55000000000000004">
      <c r="A472" s="2" t="s">
        <v>48</v>
      </c>
      <c r="B472" s="20" t="s">
        <v>69</v>
      </c>
      <c r="C472" s="25" t="s">
        <v>15</v>
      </c>
    </row>
    <row r="473" spans="1:3" ht="23.5" x14ac:dyDescent="0.55000000000000004">
      <c r="A473" s="2" t="s">
        <v>48</v>
      </c>
      <c r="B473" s="20" t="s">
        <v>70</v>
      </c>
      <c r="C473" s="25" t="s">
        <v>15</v>
      </c>
    </row>
    <row r="474" spans="1:3" ht="23.5" x14ac:dyDescent="0.55000000000000004">
      <c r="A474" s="2" t="s">
        <v>48</v>
      </c>
      <c r="B474" s="20" t="s">
        <v>71</v>
      </c>
      <c r="C474" s="25" t="s">
        <v>15</v>
      </c>
    </row>
    <row r="475" spans="1:3" ht="23.5" x14ac:dyDescent="0.55000000000000004">
      <c r="A475" s="2" t="s">
        <v>48</v>
      </c>
      <c r="B475" s="20" t="s">
        <v>72</v>
      </c>
      <c r="C475" s="25" t="s">
        <v>16</v>
      </c>
    </row>
    <row r="476" spans="1:3" ht="24" thickBot="1" x14ac:dyDescent="0.6">
      <c r="A476" s="2" t="s">
        <v>48</v>
      </c>
      <c r="B476" s="20" t="s">
        <v>73</v>
      </c>
      <c r="C476" s="25" t="s">
        <v>16</v>
      </c>
    </row>
    <row r="477" spans="1:3" ht="24" thickBot="1" x14ac:dyDescent="0.6">
      <c r="A477" s="2" t="s">
        <v>48</v>
      </c>
      <c r="B477" s="17" t="s">
        <v>75</v>
      </c>
      <c r="C477" s="3" t="s">
        <v>15</v>
      </c>
    </row>
    <row r="478" spans="1:3" ht="24" thickBot="1" x14ac:dyDescent="0.6">
      <c r="A478" s="2" t="s">
        <v>48</v>
      </c>
      <c r="B478" s="17" t="s">
        <v>76</v>
      </c>
      <c r="C478" s="3" t="s">
        <v>15</v>
      </c>
    </row>
    <row r="479" spans="1:3" ht="24" thickBot="1" x14ac:dyDescent="0.6">
      <c r="A479" s="2" t="s">
        <v>48</v>
      </c>
      <c r="B479" s="17" t="s">
        <v>77</v>
      </c>
      <c r="C479" s="3" t="s">
        <v>16</v>
      </c>
    </row>
    <row r="480" spans="1:3" ht="24" thickBot="1" x14ac:dyDescent="0.6">
      <c r="A480" s="2" t="s">
        <v>48</v>
      </c>
      <c r="B480" s="17" t="s">
        <v>78</v>
      </c>
      <c r="C480" s="3" t="s">
        <v>16</v>
      </c>
    </row>
    <row r="481" spans="1:3" ht="24" thickBot="1" x14ac:dyDescent="0.6">
      <c r="A481" s="2" t="s">
        <v>48</v>
      </c>
      <c r="B481" s="17" t="s">
        <v>79</v>
      </c>
      <c r="C481" s="3" t="s">
        <v>15</v>
      </c>
    </row>
    <row r="482" spans="1:3" ht="24" thickBot="1" x14ac:dyDescent="0.6">
      <c r="A482" s="2" t="s">
        <v>48</v>
      </c>
      <c r="B482" s="17" t="s">
        <v>80</v>
      </c>
      <c r="C482" s="3" t="s">
        <v>16</v>
      </c>
    </row>
    <row r="483" spans="1:3" ht="24" thickBot="1" x14ac:dyDescent="0.6">
      <c r="A483" s="2" t="s">
        <v>48</v>
      </c>
      <c r="B483" s="17" t="s">
        <v>84</v>
      </c>
      <c r="C483" s="3" t="s">
        <v>92</v>
      </c>
    </row>
    <row r="484" spans="1:3" ht="24" thickBot="1" x14ac:dyDescent="0.6">
      <c r="A484" s="2" t="s">
        <v>49</v>
      </c>
      <c r="B484" s="17" t="s">
        <v>65</v>
      </c>
      <c r="C484" s="3" t="s">
        <v>15</v>
      </c>
    </row>
    <row r="485" spans="1:3" ht="23.5" x14ac:dyDescent="0.55000000000000004">
      <c r="A485" s="2" t="s">
        <v>49</v>
      </c>
      <c r="B485" s="19" t="s">
        <v>67</v>
      </c>
      <c r="C485" s="23" t="s">
        <v>15</v>
      </c>
    </row>
    <row r="486" spans="1:3" ht="23.5" x14ac:dyDescent="0.55000000000000004">
      <c r="A486" s="2" t="s">
        <v>49</v>
      </c>
      <c r="B486" s="20" t="s">
        <v>68</v>
      </c>
      <c r="C486" s="24" t="s">
        <v>15</v>
      </c>
    </row>
    <row r="487" spans="1:3" ht="23.5" x14ac:dyDescent="0.55000000000000004">
      <c r="A487" s="2" t="s">
        <v>49</v>
      </c>
      <c r="B487" s="20" t="s">
        <v>69</v>
      </c>
      <c r="C487" s="25" t="s">
        <v>16</v>
      </c>
    </row>
    <row r="488" spans="1:3" ht="23.5" x14ac:dyDescent="0.55000000000000004">
      <c r="A488" s="2" t="s">
        <v>49</v>
      </c>
      <c r="B488" s="20" t="s">
        <v>70</v>
      </c>
      <c r="C488" s="25" t="s">
        <v>15</v>
      </c>
    </row>
    <row r="489" spans="1:3" ht="23.5" x14ac:dyDescent="0.55000000000000004">
      <c r="A489" s="2" t="s">
        <v>49</v>
      </c>
      <c r="B489" s="20" t="s">
        <v>71</v>
      </c>
      <c r="C489" s="25" t="s">
        <v>15</v>
      </c>
    </row>
    <row r="490" spans="1:3" ht="23.5" x14ac:dyDescent="0.55000000000000004">
      <c r="A490" s="2" t="s">
        <v>49</v>
      </c>
      <c r="B490" s="20" t="s">
        <v>72</v>
      </c>
      <c r="C490" s="25" t="s">
        <v>15</v>
      </c>
    </row>
    <row r="491" spans="1:3" ht="24" thickBot="1" x14ac:dyDescent="0.6">
      <c r="A491" s="2" t="s">
        <v>49</v>
      </c>
      <c r="B491" s="20" t="s">
        <v>73</v>
      </c>
      <c r="C491" s="25" t="s">
        <v>15</v>
      </c>
    </row>
    <row r="492" spans="1:3" ht="24" thickBot="1" x14ac:dyDescent="0.6">
      <c r="A492" s="2" t="s">
        <v>49</v>
      </c>
      <c r="B492" s="17" t="s">
        <v>76</v>
      </c>
      <c r="C492" s="3" t="s">
        <v>15</v>
      </c>
    </row>
    <row r="493" spans="1:3" ht="24" thickBot="1" x14ac:dyDescent="0.6">
      <c r="A493" s="2" t="s">
        <v>49</v>
      </c>
      <c r="B493" s="17" t="s">
        <v>77</v>
      </c>
      <c r="C493" s="3" t="s">
        <v>15</v>
      </c>
    </row>
    <row r="494" spans="1:3" ht="24" thickBot="1" x14ac:dyDescent="0.6">
      <c r="A494" s="2" t="s">
        <v>49</v>
      </c>
      <c r="B494" s="17" t="s">
        <v>78</v>
      </c>
      <c r="C494" s="3" t="s">
        <v>20</v>
      </c>
    </row>
    <row r="495" spans="1:3" ht="24" thickBot="1" x14ac:dyDescent="0.6">
      <c r="A495" s="2" t="s">
        <v>49</v>
      </c>
      <c r="B495" s="17" t="s">
        <v>79</v>
      </c>
      <c r="C495" s="3" t="s">
        <v>16</v>
      </c>
    </row>
    <row r="496" spans="1:3" ht="24" thickBot="1" x14ac:dyDescent="0.6">
      <c r="A496" s="2" t="s">
        <v>49</v>
      </c>
      <c r="B496" s="17" t="s">
        <v>80</v>
      </c>
      <c r="C496" s="3">
        <v>0</v>
      </c>
    </row>
    <row r="497" spans="1:3" ht="24" thickBot="1" x14ac:dyDescent="0.6">
      <c r="A497" s="2" t="s">
        <v>50</v>
      </c>
      <c r="B497" s="17" t="s">
        <v>75</v>
      </c>
      <c r="C497" s="3" t="s">
        <v>15</v>
      </c>
    </row>
    <row r="498" spans="1:3" ht="24" thickBot="1" x14ac:dyDescent="0.6">
      <c r="A498" s="2" t="s">
        <v>50</v>
      </c>
      <c r="B498" s="17" t="s">
        <v>76</v>
      </c>
      <c r="C498" s="3" t="s">
        <v>15</v>
      </c>
    </row>
    <row r="499" spans="1:3" ht="24" thickBot="1" x14ac:dyDescent="0.6">
      <c r="A499" s="2" t="s">
        <v>50</v>
      </c>
      <c r="B499" s="17" t="s">
        <v>77</v>
      </c>
      <c r="C499" s="3" t="s">
        <v>15</v>
      </c>
    </row>
    <row r="500" spans="1:3" ht="24" thickBot="1" x14ac:dyDescent="0.6">
      <c r="A500" s="2" t="s">
        <v>50</v>
      </c>
      <c r="B500" s="17" t="s">
        <v>78</v>
      </c>
      <c r="C500" s="3" t="s">
        <v>15</v>
      </c>
    </row>
    <row r="501" spans="1:3" ht="24" thickBot="1" x14ac:dyDescent="0.6">
      <c r="A501" s="2" t="s">
        <v>50</v>
      </c>
      <c r="B501" s="17" t="s">
        <v>79</v>
      </c>
      <c r="C501" s="3" t="s">
        <v>16</v>
      </c>
    </row>
    <row r="502" spans="1:3" ht="24" thickBot="1" x14ac:dyDescent="0.6">
      <c r="A502" s="2" t="s">
        <v>50</v>
      </c>
      <c r="B502" s="17" t="s">
        <v>83</v>
      </c>
      <c r="C502" s="3" t="s">
        <v>15</v>
      </c>
    </row>
    <row r="503" spans="1:3" ht="24" thickBot="1" x14ac:dyDescent="0.6">
      <c r="A503" s="2" t="s">
        <v>50</v>
      </c>
      <c r="B503" s="17" t="s">
        <v>84</v>
      </c>
      <c r="C503" s="3" t="s">
        <v>88</v>
      </c>
    </row>
    <row r="504" spans="1:3" ht="24" thickBot="1" x14ac:dyDescent="0.6">
      <c r="A504" s="2" t="s">
        <v>51</v>
      </c>
      <c r="B504" s="17" t="s">
        <v>65</v>
      </c>
      <c r="C504" s="3" t="s">
        <v>15</v>
      </c>
    </row>
    <row r="505" spans="1:3" ht="23.5" x14ac:dyDescent="0.55000000000000004">
      <c r="A505" s="2" t="s">
        <v>51</v>
      </c>
      <c r="B505" s="19" t="s">
        <v>67</v>
      </c>
      <c r="C505" s="23" t="s">
        <v>15</v>
      </c>
    </row>
    <row r="506" spans="1:3" ht="23.5" x14ac:dyDescent="0.55000000000000004">
      <c r="A506" s="2" t="s">
        <v>51</v>
      </c>
      <c r="B506" s="20" t="s">
        <v>68</v>
      </c>
      <c r="C506" s="24" t="s">
        <v>15</v>
      </c>
    </row>
    <row r="507" spans="1:3" ht="23.5" x14ac:dyDescent="0.55000000000000004">
      <c r="A507" s="2" t="s">
        <v>51</v>
      </c>
      <c r="B507" s="20" t="s">
        <v>69</v>
      </c>
      <c r="C507" s="25" t="s">
        <v>15</v>
      </c>
    </row>
    <row r="508" spans="1:3" ht="23.5" x14ac:dyDescent="0.55000000000000004">
      <c r="A508" s="2" t="s">
        <v>51</v>
      </c>
      <c r="B508" s="20" t="s">
        <v>70</v>
      </c>
      <c r="C508" s="25" t="s">
        <v>15</v>
      </c>
    </row>
    <row r="509" spans="1:3" ht="23.5" x14ac:dyDescent="0.55000000000000004">
      <c r="A509" s="2" t="s">
        <v>51</v>
      </c>
      <c r="B509" s="20" t="s">
        <v>71</v>
      </c>
      <c r="C509" s="25" t="s">
        <v>15</v>
      </c>
    </row>
    <row r="510" spans="1:3" ht="23.5" x14ac:dyDescent="0.55000000000000004">
      <c r="A510" s="2" t="s">
        <v>51</v>
      </c>
      <c r="B510" s="20" t="s">
        <v>72</v>
      </c>
      <c r="C510" s="25" t="s">
        <v>16</v>
      </c>
    </row>
    <row r="511" spans="1:3" ht="24" thickBot="1" x14ac:dyDescent="0.6">
      <c r="A511" s="2" t="s">
        <v>51</v>
      </c>
      <c r="B511" s="20" t="s">
        <v>73</v>
      </c>
      <c r="C511" s="25" t="s">
        <v>16</v>
      </c>
    </row>
    <row r="512" spans="1:3" ht="24" thickBot="1" x14ac:dyDescent="0.6">
      <c r="A512" s="2" t="s">
        <v>51</v>
      </c>
      <c r="B512" s="17" t="s">
        <v>75</v>
      </c>
      <c r="C512" s="3" t="s">
        <v>15</v>
      </c>
    </row>
    <row r="513" spans="1:3" ht="24" thickBot="1" x14ac:dyDescent="0.6">
      <c r="A513" s="2" t="s">
        <v>51</v>
      </c>
      <c r="B513" s="17" t="s">
        <v>76</v>
      </c>
      <c r="C513" s="3" t="s">
        <v>15</v>
      </c>
    </row>
    <row r="514" spans="1:3" ht="24" thickBot="1" x14ac:dyDescent="0.6">
      <c r="A514" s="2" t="s">
        <v>51</v>
      </c>
      <c r="B514" s="17" t="s">
        <v>77</v>
      </c>
      <c r="C514" s="3" t="s">
        <v>15</v>
      </c>
    </row>
    <row r="515" spans="1:3" ht="24" thickBot="1" x14ac:dyDescent="0.6">
      <c r="A515" s="2" t="s">
        <v>51</v>
      </c>
      <c r="B515" s="17" t="s">
        <v>78</v>
      </c>
      <c r="C515" s="3" t="s">
        <v>16</v>
      </c>
    </row>
    <row r="516" spans="1:3" ht="24" thickBot="1" x14ac:dyDescent="0.6">
      <c r="A516" s="2" t="s">
        <v>51</v>
      </c>
      <c r="B516" s="17" t="s">
        <v>79</v>
      </c>
      <c r="C516" s="3" t="s">
        <v>16</v>
      </c>
    </row>
    <row r="517" spans="1:3" ht="24" thickBot="1" x14ac:dyDescent="0.6">
      <c r="A517" s="2" t="s">
        <v>51</v>
      </c>
      <c r="B517" s="17" t="s">
        <v>80</v>
      </c>
      <c r="C517" s="3">
        <v>0</v>
      </c>
    </row>
    <row r="518" spans="1:3" ht="24" thickBot="1" x14ac:dyDescent="0.6">
      <c r="A518" s="2" t="s">
        <v>52</v>
      </c>
      <c r="B518" s="17" t="s">
        <v>65</v>
      </c>
      <c r="C518" s="3" t="s">
        <v>15</v>
      </c>
    </row>
    <row r="519" spans="1:3" ht="23.5" x14ac:dyDescent="0.55000000000000004">
      <c r="A519" s="2" t="s">
        <v>52</v>
      </c>
      <c r="B519" s="19" t="s">
        <v>67</v>
      </c>
      <c r="C519" s="23" t="s">
        <v>15</v>
      </c>
    </row>
    <row r="520" spans="1:3" ht="23.5" x14ac:dyDescent="0.55000000000000004">
      <c r="A520" s="2" t="s">
        <v>52</v>
      </c>
      <c r="B520" s="20" t="s">
        <v>68</v>
      </c>
      <c r="C520" s="24" t="s">
        <v>15</v>
      </c>
    </row>
    <row r="521" spans="1:3" ht="23.5" x14ac:dyDescent="0.55000000000000004">
      <c r="A521" s="2" t="s">
        <v>52</v>
      </c>
      <c r="B521" s="20" t="s">
        <v>69</v>
      </c>
      <c r="C521" s="25" t="s">
        <v>15</v>
      </c>
    </row>
    <row r="522" spans="1:3" ht="23.5" x14ac:dyDescent="0.55000000000000004">
      <c r="A522" s="2" t="s">
        <v>52</v>
      </c>
      <c r="B522" s="20" t="s">
        <v>70</v>
      </c>
      <c r="C522" s="25" t="s">
        <v>15</v>
      </c>
    </row>
    <row r="523" spans="1:3" ht="23.5" x14ac:dyDescent="0.55000000000000004">
      <c r="A523" s="2" t="s">
        <v>52</v>
      </c>
      <c r="B523" s="20" t="s">
        <v>71</v>
      </c>
      <c r="C523" s="25" t="s">
        <v>15</v>
      </c>
    </row>
    <row r="524" spans="1:3" ht="23.5" x14ac:dyDescent="0.55000000000000004">
      <c r="A524" s="2" t="s">
        <v>52</v>
      </c>
      <c r="B524" s="20" t="s">
        <v>72</v>
      </c>
      <c r="C524" s="25" t="s">
        <v>15</v>
      </c>
    </row>
    <row r="525" spans="1:3" ht="24" thickBot="1" x14ac:dyDescent="0.6">
      <c r="A525" s="2" t="s">
        <v>52</v>
      </c>
      <c r="B525" s="20" t="s">
        <v>73</v>
      </c>
      <c r="C525" s="25" t="s">
        <v>15</v>
      </c>
    </row>
    <row r="526" spans="1:3" ht="24" thickBot="1" x14ac:dyDescent="0.6">
      <c r="A526" s="2" t="s">
        <v>52</v>
      </c>
      <c r="B526" s="17" t="s">
        <v>75</v>
      </c>
      <c r="C526" s="3" t="s">
        <v>15</v>
      </c>
    </row>
    <row r="527" spans="1:3" ht="24" thickBot="1" x14ac:dyDescent="0.6">
      <c r="A527" s="2" t="s">
        <v>52</v>
      </c>
      <c r="B527" s="17" t="s">
        <v>76</v>
      </c>
      <c r="C527" s="3" t="s">
        <v>15</v>
      </c>
    </row>
    <row r="528" spans="1:3" ht="24" thickBot="1" x14ac:dyDescent="0.6">
      <c r="A528" s="2" t="s">
        <v>52</v>
      </c>
      <c r="B528" s="17" t="s">
        <v>77</v>
      </c>
      <c r="C528" s="3" t="s">
        <v>15</v>
      </c>
    </row>
    <row r="529" spans="1:3" ht="24" thickBot="1" x14ac:dyDescent="0.6">
      <c r="A529" s="2" t="s">
        <v>52</v>
      </c>
      <c r="B529" s="17" t="s">
        <v>78</v>
      </c>
      <c r="C529" s="3" t="s">
        <v>15</v>
      </c>
    </row>
    <row r="530" spans="1:3" ht="24" thickBot="1" x14ac:dyDescent="0.6">
      <c r="A530" s="2" t="s">
        <v>52</v>
      </c>
      <c r="B530" s="17" t="s">
        <v>79</v>
      </c>
      <c r="C530" s="3" t="s">
        <v>16</v>
      </c>
    </row>
    <row r="531" spans="1:3" ht="24" thickBot="1" x14ac:dyDescent="0.6">
      <c r="A531" s="2" t="s">
        <v>52</v>
      </c>
      <c r="B531" s="17" t="s">
        <v>80</v>
      </c>
      <c r="C531" s="3">
        <v>0</v>
      </c>
    </row>
    <row r="532" spans="1:3" ht="24" thickBot="1" x14ac:dyDescent="0.6">
      <c r="A532" s="2" t="s">
        <v>52</v>
      </c>
      <c r="B532" s="17" t="s">
        <v>83</v>
      </c>
      <c r="C532" s="3" t="s">
        <v>15</v>
      </c>
    </row>
    <row r="533" spans="1:3" ht="24" thickBot="1" x14ac:dyDescent="0.6">
      <c r="A533" s="2" t="s">
        <v>52</v>
      </c>
      <c r="B533" s="17" t="s">
        <v>84</v>
      </c>
      <c r="C533" s="3" t="s">
        <v>89</v>
      </c>
    </row>
  </sheetData>
  <autoFilter ref="A1:C533" xr:uid="{49A46909-FD34-CF43-BA24-AC6308F8E1EA}"/>
  <dataValidations count="7">
    <dataValidation type="list" allowBlank="1" showInputMessage="1" showErrorMessage="1" promptTitle="Select from the list" prompt="Select from the list" sqref="C19 C49 C68 C83 C101 C117 C147 C533 C220 C238 C255 C274 C286 C302 C319 C334 C352 C369 C385 C398 C416 C434 C450 C468 C483 C503 C177" xr:uid="{F47289A6-FE8D-0E49-8A35-F45A3925B7F5}">
      <formula1>"No impact, Limited impact, Significant impact"</formula1>
    </dataValidation>
    <dataValidation type="list" allowBlank="1" showInputMessage="1" showErrorMessage="1" promptTitle="Select from the list" prompt="Select from the list" sqref="C18 C33 C48 C67 C82 C100 C116 C146 C162 C176 C219 C237 C254 C273 C285 C301 C318 C333 C351 C368 C384 C397 C415 C433 C449 C467 C502 C532" xr:uid="{3A6C117B-F1AE-D54F-96DA-C4B2E24D5757}">
      <formula1>"YES, NO, IN PROGRESS"</formula1>
    </dataValidation>
    <dataValidation type="list" allowBlank="1" showInputMessage="1" showErrorMessage="1" promptTitle="Select from the list" prompt="Select from the list" sqref="C17 C66 C99 C145 C218 C236 C272 C284 C300 C317 C332 C350 C367 C414 C432 C466" xr:uid="{05A86E3D-6A4C-7C41-9D3B-56D089C42BF5}">
      <formula1>"Often locally, Often across the country "</formula1>
    </dataValidation>
    <dataValidation type="list" allowBlank="1" showInputMessage="1" showErrorMessage="1" promptTitle="Select from the list" prompt="Select from the list" sqref="C16 C65 C98 C115 C144 C217 C235 C271 C283 C299 C331 C349 C366 C413 C431 C465" xr:uid="{7F279712-8ACC-1B4D-B46B-5376F8FB7A72}">
      <formula1>"1-3 days, 4-6 days, 7-14 days, 15 days &amp; +"</formula1>
    </dataValidation>
    <dataValidation type="list" allowBlank="1" showInputMessage="1" showErrorMessage="1" promptTitle="Select from the list" prompt="Select from the list" sqref="C11:C13 C29:C31 C43:C45 C60:C62 C78:C80 C93:C95 C139:C141 C157:C159 C172:C174 C199:C201 C212:C214 C230:C232 C249:C251 C266:C268 C278:C280 C294:C296 C312:C314 C327:C328 C344:C346 C361:C363 C379:C381 C393:C395 C409:C411 C426:C428 C444:C446 C460:C462 C478:C480 C492:C494 C498:C500 C513:C515 C527:C529 C187:C189 C127:C128 C111:C112" xr:uid="{F43D970A-0D41-7344-8579-5AFD968E3662}">
      <formula1>"YES, NO, IN PROGRESS, PLANNED"</formula1>
    </dataValidation>
    <dataValidation type="list" allowBlank="1" showInputMessage="1" showErrorMessage="1" promptTitle="Select from the list" prompt="Select from the list" sqref="C2:C10 C14 C20:C28 C32 C34:C42 C46 C50:C57 C59 C63 C69:C77 C81 C84:C92 C96 C102:C109 C113 C118:C126 C129:C138 C142 C148:C156 C160 C163:C171 C175 C202 C204:C211 C215 C221:C229 C233 C239:C246 C248 C252 C256:C263 C265 C269 C281 C287:C293 C297 C303:C311 C315 C320:C326 C329 C335:C343 C347 C353:C360 C364 C370:C378 C382 C386:C392 C396 C400:C406 C408 C412 C417:C425 C429 C436:C443 C447 C451:C459 C463 C469:C477 C481 C484:C491 C495 C497 C501 C504:C512 C516 C518:C526 C530 C178:C186 C190:C198 C275:C277" xr:uid="{D04535A7-9C10-5C44-ADE9-FC86F049521A}">
      <formula1>"YES, NO"</formula1>
    </dataValidation>
    <dataValidation type="list" allowBlank="1" showInputMessage="1" showErrorMessage="1" sqref="A2:A533" xr:uid="{37BB4EDA-A8E5-FB4C-9932-B37A6D4CC74F}">
      <formula1>Country</formula1>
    </dataValidation>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00EA4F-F439-1843-82DF-E7F216EDB786}">
  <dimension ref="A1:I147"/>
  <sheetViews>
    <sheetView topLeftCell="B3" workbookViewId="0">
      <selection activeCell="C3" sqref="C3:C129"/>
    </sheetView>
  </sheetViews>
  <sheetFormatPr defaultColWidth="10.6640625" defaultRowHeight="16" x14ac:dyDescent="0.4"/>
  <cols>
    <col min="1" max="1" width="40" bestFit="1" customWidth="1"/>
    <col min="2" max="2" width="157.5" bestFit="1" customWidth="1"/>
    <col min="3" max="3" width="32.5" bestFit="1" customWidth="1"/>
    <col min="7" max="7" width="157.5" bestFit="1" customWidth="1"/>
  </cols>
  <sheetData>
    <row r="1" spans="1:9" ht="24" thickBot="1" x14ac:dyDescent="0.45">
      <c r="A1" s="1" t="s">
        <v>53</v>
      </c>
      <c r="B1" s="21" t="s">
        <v>103</v>
      </c>
      <c r="C1" s="21" t="s">
        <v>64</v>
      </c>
    </row>
    <row r="2" spans="1:9" ht="24" thickBot="1" x14ac:dyDescent="0.6">
      <c r="A2" s="2" t="s">
        <v>14</v>
      </c>
      <c r="B2" s="17" t="s">
        <v>77</v>
      </c>
      <c r="C2" s="3" t="s">
        <v>85</v>
      </c>
    </row>
    <row r="3" spans="1:9" ht="24" thickBot="1" x14ac:dyDescent="0.6">
      <c r="A3" s="2" t="s">
        <v>14</v>
      </c>
      <c r="B3" s="17" t="s">
        <v>80</v>
      </c>
      <c r="C3" s="3">
        <v>2</v>
      </c>
      <c r="G3" t="s">
        <v>81</v>
      </c>
      <c r="I3" t="s">
        <v>146</v>
      </c>
    </row>
    <row r="4" spans="1:9" ht="24" thickBot="1" x14ac:dyDescent="0.6">
      <c r="A4" s="2" t="s">
        <v>14</v>
      </c>
      <c r="B4" s="17" t="s">
        <v>81</v>
      </c>
      <c r="C4" s="3" t="s">
        <v>86</v>
      </c>
      <c r="G4" s="3" t="s">
        <v>91</v>
      </c>
      <c r="H4">
        <f>COUNTIFS(C:C,G4,B:B,$G$3)</f>
        <v>4</v>
      </c>
    </row>
    <row r="5" spans="1:9" ht="24" thickBot="1" x14ac:dyDescent="0.6">
      <c r="A5" s="2" t="s">
        <v>14</v>
      </c>
      <c r="B5" s="17" t="s">
        <v>82</v>
      </c>
      <c r="C5" s="3" t="s">
        <v>87</v>
      </c>
      <c r="G5" s="3" t="s">
        <v>93</v>
      </c>
      <c r="H5">
        <f t="shared" ref="H5:H7" si="0">COUNTIFS(C:C,G5,B:B,$G$3)</f>
        <v>4</v>
      </c>
    </row>
    <row r="6" spans="1:9" ht="24" thickBot="1" x14ac:dyDescent="0.6">
      <c r="A6" s="2" t="s">
        <v>14</v>
      </c>
      <c r="B6" s="17" t="s">
        <v>83</v>
      </c>
      <c r="C6" s="3" t="s">
        <v>20</v>
      </c>
      <c r="G6" s="3" t="s">
        <v>86</v>
      </c>
      <c r="H6">
        <f t="shared" si="0"/>
        <v>6</v>
      </c>
    </row>
    <row r="7" spans="1:9" ht="24" thickBot="1" x14ac:dyDescent="0.6">
      <c r="A7" s="2" t="s">
        <v>14</v>
      </c>
      <c r="B7" s="17" t="s">
        <v>84</v>
      </c>
      <c r="C7" s="3" t="s">
        <v>88</v>
      </c>
      <c r="G7" s="3" t="s">
        <v>97</v>
      </c>
      <c r="H7">
        <f t="shared" si="0"/>
        <v>2</v>
      </c>
    </row>
    <row r="8" spans="1:9" ht="24" thickBot="1" x14ac:dyDescent="0.6">
      <c r="A8" s="2" t="s">
        <v>17</v>
      </c>
      <c r="B8" s="17" t="s">
        <v>77</v>
      </c>
      <c r="C8" s="3" t="s">
        <v>15</v>
      </c>
    </row>
    <row r="9" spans="1:9" ht="24" thickBot="1" x14ac:dyDescent="0.6">
      <c r="A9" s="2" t="s">
        <v>17</v>
      </c>
      <c r="B9" s="17" t="s">
        <v>83</v>
      </c>
      <c r="C9" s="3" t="s">
        <v>15</v>
      </c>
      <c r="G9" s="17" t="s">
        <v>80</v>
      </c>
      <c r="H9">
        <f>AVERAGEIFS($C:$C,$B:$B,$G$9)</f>
        <v>2.1153846153846154</v>
      </c>
      <c r="I9">
        <f>COUNTIF(B:B,G9)</f>
        <v>26</v>
      </c>
    </row>
    <row r="10" spans="1:9" ht="24" thickBot="1" x14ac:dyDescent="0.6">
      <c r="A10" s="2" t="s">
        <v>18</v>
      </c>
      <c r="B10" s="17" t="s">
        <v>77</v>
      </c>
      <c r="C10" s="3" t="s">
        <v>16</v>
      </c>
      <c r="H10">
        <f>_xlfn.MINIFS($C:$C,$B:$B,$G$9)</f>
        <v>0</v>
      </c>
    </row>
    <row r="11" spans="1:9" ht="24" thickBot="1" x14ac:dyDescent="0.6">
      <c r="A11" s="2" t="s">
        <v>18</v>
      </c>
      <c r="B11" s="17" t="s">
        <v>80</v>
      </c>
      <c r="C11" s="3">
        <v>0</v>
      </c>
      <c r="H11">
        <f>_xlfn.MAXIFS($C:$C,$B:$B,$G$9)</f>
        <v>17</v>
      </c>
    </row>
    <row r="12" spans="1:9" ht="24" thickBot="1" x14ac:dyDescent="0.6">
      <c r="A12" s="2" t="s">
        <v>18</v>
      </c>
      <c r="B12" s="17" t="s">
        <v>83</v>
      </c>
      <c r="C12" s="3" t="s">
        <v>15</v>
      </c>
    </row>
    <row r="13" spans="1:9" ht="24" thickBot="1" x14ac:dyDescent="0.6">
      <c r="A13" s="2" t="s">
        <v>18</v>
      </c>
      <c r="B13" s="17" t="s">
        <v>84</v>
      </c>
      <c r="C13" s="3" t="s">
        <v>89</v>
      </c>
    </row>
    <row r="14" spans="1:9" ht="24" thickBot="1" x14ac:dyDescent="0.6">
      <c r="A14" s="2" t="s">
        <v>19</v>
      </c>
      <c r="B14" s="17" t="s">
        <v>77</v>
      </c>
      <c r="C14" s="3" t="s">
        <v>15</v>
      </c>
    </row>
    <row r="15" spans="1:9" ht="24" thickBot="1" x14ac:dyDescent="0.6">
      <c r="A15" s="2" t="s">
        <v>19</v>
      </c>
      <c r="B15" s="17" t="s">
        <v>80</v>
      </c>
      <c r="C15" s="3">
        <v>4</v>
      </c>
    </row>
    <row r="16" spans="1:9" ht="24" thickBot="1" x14ac:dyDescent="0.6">
      <c r="A16" s="2" t="s">
        <v>19</v>
      </c>
      <c r="B16" s="17" t="s">
        <v>81</v>
      </c>
      <c r="C16" s="3" t="s">
        <v>91</v>
      </c>
    </row>
    <row r="17" spans="1:3" ht="24" thickBot="1" x14ac:dyDescent="0.6">
      <c r="A17" s="2" t="s">
        <v>19</v>
      </c>
      <c r="B17" s="17" t="s">
        <v>82</v>
      </c>
      <c r="C17" s="3" t="s">
        <v>87</v>
      </c>
    </row>
    <row r="18" spans="1:3" ht="24" thickBot="1" x14ac:dyDescent="0.6">
      <c r="A18" s="2" t="s">
        <v>19</v>
      </c>
      <c r="B18" s="17" t="s">
        <v>83</v>
      </c>
      <c r="C18" s="3" t="s">
        <v>15</v>
      </c>
    </row>
    <row r="19" spans="1:3" ht="24" thickBot="1" x14ac:dyDescent="0.6">
      <c r="A19" s="2" t="s">
        <v>19</v>
      </c>
      <c r="B19" s="17" t="s">
        <v>84</v>
      </c>
      <c r="C19" s="3" t="s">
        <v>88</v>
      </c>
    </row>
    <row r="20" spans="1:3" ht="24" thickBot="1" x14ac:dyDescent="0.6">
      <c r="A20" s="2" t="s">
        <v>21</v>
      </c>
      <c r="B20" s="17" t="s">
        <v>77</v>
      </c>
      <c r="C20" s="3" t="s">
        <v>15</v>
      </c>
    </row>
    <row r="21" spans="1:3" ht="24" thickBot="1" x14ac:dyDescent="0.6">
      <c r="A21" s="2" t="s">
        <v>21</v>
      </c>
      <c r="B21" s="17" t="s">
        <v>83</v>
      </c>
      <c r="C21" s="3" t="s">
        <v>15</v>
      </c>
    </row>
    <row r="22" spans="1:3" ht="24" thickBot="1" x14ac:dyDescent="0.6">
      <c r="A22" s="2" t="s">
        <v>21</v>
      </c>
      <c r="B22" s="17" t="s">
        <v>84</v>
      </c>
      <c r="C22" s="3" t="s">
        <v>92</v>
      </c>
    </row>
    <row r="23" spans="1:3" ht="24" thickBot="1" x14ac:dyDescent="0.6">
      <c r="A23" s="2" t="s">
        <v>22</v>
      </c>
      <c r="B23" s="17" t="s">
        <v>77</v>
      </c>
      <c r="C23" s="3" t="s">
        <v>16</v>
      </c>
    </row>
    <row r="24" spans="1:3" ht="24" thickBot="1" x14ac:dyDescent="0.6">
      <c r="A24" s="2" t="s">
        <v>22</v>
      </c>
      <c r="B24" s="17" t="s">
        <v>80</v>
      </c>
      <c r="C24" s="3">
        <v>2</v>
      </c>
    </row>
    <row r="25" spans="1:3" ht="24" thickBot="1" x14ac:dyDescent="0.6">
      <c r="A25" s="2" t="s">
        <v>22</v>
      </c>
      <c r="B25" s="17" t="s">
        <v>81</v>
      </c>
      <c r="C25" s="3" t="s">
        <v>93</v>
      </c>
    </row>
    <row r="26" spans="1:3" ht="24" thickBot="1" x14ac:dyDescent="0.6">
      <c r="A26" s="2" t="s">
        <v>22</v>
      </c>
      <c r="B26" s="17" t="s">
        <v>82</v>
      </c>
      <c r="C26" s="3" t="s">
        <v>87</v>
      </c>
    </row>
    <row r="27" spans="1:3" ht="24" thickBot="1" x14ac:dyDescent="0.6">
      <c r="A27" s="2" t="s">
        <v>22</v>
      </c>
      <c r="B27" s="17" t="s">
        <v>83</v>
      </c>
      <c r="C27" s="3" t="s">
        <v>15</v>
      </c>
    </row>
    <row r="28" spans="1:3" ht="24" thickBot="1" x14ac:dyDescent="0.6">
      <c r="A28" s="2" t="s">
        <v>22</v>
      </c>
      <c r="B28" s="17" t="s">
        <v>84</v>
      </c>
      <c r="C28" s="3" t="s">
        <v>88</v>
      </c>
    </row>
    <row r="29" spans="1:3" ht="24" thickBot="1" x14ac:dyDescent="0.6">
      <c r="A29" s="2" t="s">
        <v>23</v>
      </c>
      <c r="B29" s="17" t="s">
        <v>77</v>
      </c>
      <c r="C29" s="3" t="s">
        <v>15</v>
      </c>
    </row>
    <row r="30" spans="1:3" ht="24" thickBot="1" x14ac:dyDescent="0.6">
      <c r="A30" s="2" t="s">
        <v>23</v>
      </c>
      <c r="B30" s="17" t="s">
        <v>80</v>
      </c>
      <c r="C30" s="3">
        <v>1</v>
      </c>
    </row>
    <row r="31" spans="1:3" ht="24" thickBot="1" x14ac:dyDescent="0.6">
      <c r="A31" s="2" t="s">
        <v>23</v>
      </c>
      <c r="B31" s="17" t="s">
        <v>81</v>
      </c>
      <c r="C31" s="3" t="s">
        <v>91</v>
      </c>
    </row>
    <row r="32" spans="1:3" ht="24" thickBot="1" x14ac:dyDescent="0.6">
      <c r="A32" s="2" t="s">
        <v>23</v>
      </c>
      <c r="B32" s="17" t="s">
        <v>83</v>
      </c>
      <c r="C32" s="3" t="s">
        <v>15</v>
      </c>
    </row>
    <row r="33" spans="1:3" ht="24" thickBot="1" x14ac:dyDescent="0.6">
      <c r="A33" s="2" t="s">
        <v>23</v>
      </c>
      <c r="B33" s="17" t="s">
        <v>84</v>
      </c>
      <c r="C33" s="3" t="s">
        <v>89</v>
      </c>
    </row>
    <row r="34" spans="1:3" ht="24" thickBot="1" x14ac:dyDescent="0.6">
      <c r="A34" s="2" t="s">
        <v>25</v>
      </c>
      <c r="B34" s="17" t="s">
        <v>77</v>
      </c>
      <c r="C34" s="3" t="s">
        <v>16</v>
      </c>
    </row>
    <row r="35" spans="1:3" ht="24" thickBot="1" x14ac:dyDescent="0.6">
      <c r="A35" s="2" t="s">
        <v>25</v>
      </c>
      <c r="B35" s="17" t="s">
        <v>80</v>
      </c>
      <c r="C35" s="3">
        <v>1</v>
      </c>
    </row>
    <row r="36" spans="1:3" ht="24" thickBot="1" x14ac:dyDescent="0.6">
      <c r="A36" s="2" t="s">
        <v>25</v>
      </c>
      <c r="B36" s="17" t="s">
        <v>81</v>
      </c>
      <c r="C36" s="3" t="s">
        <v>86</v>
      </c>
    </row>
    <row r="37" spans="1:3" ht="24" thickBot="1" x14ac:dyDescent="0.6">
      <c r="A37" s="2" t="s">
        <v>25</v>
      </c>
      <c r="B37" s="17" t="s">
        <v>82</v>
      </c>
      <c r="C37" s="3" t="s">
        <v>87</v>
      </c>
    </row>
    <row r="38" spans="1:3" ht="24" thickBot="1" x14ac:dyDescent="0.6">
      <c r="A38" s="2" t="s">
        <v>25</v>
      </c>
      <c r="B38" s="17" t="s">
        <v>83</v>
      </c>
      <c r="C38" s="3" t="s">
        <v>16</v>
      </c>
    </row>
    <row r="39" spans="1:3" ht="24" thickBot="1" x14ac:dyDescent="0.6">
      <c r="A39" s="2" t="s">
        <v>25</v>
      </c>
      <c r="B39" s="17" t="s">
        <v>84</v>
      </c>
      <c r="C39" s="3" t="s">
        <v>88</v>
      </c>
    </row>
    <row r="40" spans="1:3" ht="24" thickBot="1" x14ac:dyDescent="0.6">
      <c r="A40" s="2" t="s">
        <v>26</v>
      </c>
      <c r="B40" s="17" t="s">
        <v>77</v>
      </c>
      <c r="C40" s="3" t="s">
        <v>15</v>
      </c>
    </row>
    <row r="41" spans="1:3" ht="24" thickBot="1" x14ac:dyDescent="0.6">
      <c r="A41" s="2" t="s">
        <v>26</v>
      </c>
      <c r="B41" s="17" t="s">
        <v>80</v>
      </c>
      <c r="C41" s="3">
        <v>0</v>
      </c>
    </row>
    <row r="42" spans="1:3" ht="24" thickBot="1" x14ac:dyDescent="0.6">
      <c r="A42" s="2" t="s">
        <v>26</v>
      </c>
      <c r="B42" s="17" t="s">
        <v>83</v>
      </c>
      <c r="C42" s="3" t="s">
        <v>15</v>
      </c>
    </row>
    <row r="43" spans="1:3" ht="24" thickBot="1" x14ac:dyDescent="0.6">
      <c r="A43" s="2" t="s">
        <v>94</v>
      </c>
      <c r="B43" s="17" t="s">
        <v>77</v>
      </c>
      <c r="C43" s="3" t="s">
        <v>15</v>
      </c>
    </row>
    <row r="44" spans="1:3" ht="24" thickBot="1" x14ac:dyDescent="0.6">
      <c r="A44" s="2" t="s">
        <v>94</v>
      </c>
      <c r="B44" s="17" t="s">
        <v>83</v>
      </c>
      <c r="C44" s="3" t="s">
        <v>15</v>
      </c>
    </row>
    <row r="45" spans="1:3" ht="24" thickBot="1" x14ac:dyDescent="0.6">
      <c r="A45" s="2" t="s">
        <v>94</v>
      </c>
      <c r="B45" s="17" t="s">
        <v>84</v>
      </c>
      <c r="C45" s="3" t="s">
        <v>89</v>
      </c>
    </row>
    <row r="46" spans="1:3" ht="24" thickBot="1" x14ac:dyDescent="0.6">
      <c r="A46" s="2" t="s">
        <v>28</v>
      </c>
      <c r="B46" s="17" t="s">
        <v>77</v>
      </c>
      <c r="C46" s="3" t="s">
        <v>16</v>
      </c>
    </row>
    <row r="47" spans="1:3" ht="24" thickBot="1" x14ac:dyDescent="0.6">
      <c r="A47" s="2" t="s">
        <v>29</v>
      </c>
      <c r="B47" s="17" t="s">
        <v>77</v>
      </c>
      <c r="C47" s="3" t="s">
        <v>16</v>
      </c>
    </row>
    <row r="48" spans="1:3" ht="24" thickBot="1" x14ac:dyDescent="0.6">
      <c r="A48" s="2" t="s">
        <v>29</v>
      </c>
      <c r="B48" s="17" t="s">
        <v>80</v>
      </c>
      <c r="C48" s="3">
        <v>0</v>
      </c>
    </row>
    <row r="49" spans="1:3" ht="24" thickBot="1" x14ac:dyDescent="0.6">
      <c r="A49" s="2" t="s">
        <v>30</v>
      </c>
      <c r="B49" s="17" t="s">
        <v>77</v>
      </c>
      <c r="C49" s="3" t="s">
        <v>15</v>
      </c>
    </row>
    <row r="50" spans="1:3" ht="24" thickBot="1" x14ac:dyDescent="0.6">
      <c r="A50" s="2" t="s">
        <v>30</v>
      </c>
      <c r="B50" s="17" t="s">
        <v>80</v>
      </c>
      <c r="C50" s="3">
        <v>7</v>
      </c>
    </row>
    <row r="51" spans="1:3" ht="24" thickBot="1" x14ac:dyDescent="0.6">
      <c r="A51" s="2" t="s">
        <v>30</v>
      </c>
      <c r="B51" s="17" t="s">
        <v>81</v>
      </c>
      <c r="C51" s="3" t="s">
        <v>86</v>
      </c>
    </row>
    <row r="52" spans="1:3" ht="24" thickBot="1" x14ac:dyDescent="0.6">
      <c r="A52" s="2" t="s">
        <v>30</v>
      </c>
      <c r="B52" s="17" t="s">
        <v>82</v>
      </c>
      <c r="C52" s="3" t="s">
        <v>95</v>
      </c>
    </row>
    <row r="53" spans="1:3" ht="24" thickBot="1" x14ac:dyDescent="0.6">
      <c r="A53" s="2" t="s">
        <v>30</v>
      </c>
      <c r="B53" s="17" t="s">
        <v>83</v>
      </c>
      <c r="C53" s="3" t="s">
        <v>15</v>
      </c>
    </row>
    <row r="54" spans="1:3" ht="24" thickBot="1" x14ac:dyDescent="0.6">
      <c r="A54" s="2" t="s">
        <v>30</v>
      </c>
      <c r="B54" s="17" t="s">
        <v>84</v>
      </c>
      <c r="C54" s="3" t="s">
        <v>88</v>
      </c>
    </row>
    <row r="55" spans="1:3" ht="24" thickBot="1" x14ac:dyDescent="0.6">
      <c r="A55" s="2" t="s">
        <v>32</v>
      </c>
      <c r="B55" s="17" t="s">
        <v>77</v>
      </c>
      <c r="C55" s="3" t="s">
        <v>16</v>
      </c>
    </row>
    <row r="56" spans="1:3" ht="24" thickBot="1" x14ac:dyDescent="0.6">
      <c r="A56" s="2" t="s">
        <v>32</v>
      </c>
      <c r="B56" s="17" t="s">
        <v>80</v>
      </c>
      <c r="C56" s="3">
        <v>0</v>
      </c>
    </row>
    <row r="57" spans="1:3" ht="24" thickBot="1" x14ac:dyDescent="0.6">
      <c r="A57" s="2" t="s">
        <v>32</v>
      </c>
      <c r="B57" s="17" t="s">
        <v>81</v>
      </c>
      <c r="C57" s="3" t="s">
        <v>86</v>
      </c>
    </row>
    <row r="58" spans="1:3" ht="24" thickBot="1" x14ac:dyDescent="0.6">
      <c r="A58" s="2" t="s">
        <v>32</v>
      </c>
      <c r="B58" s="17" t="s">
        <v>82</v>
      </c>
      <c r="C58" s="3" t="s">
        <v>87</v>
      </c>
    </row>
    <row r="59" spans="1:3" ht="24" thickBot="1" x14ac:dyDescent="0.6">
      <c r="A59" s="2" t="s">
        <v>32</v>
      </c>
      <c r="B59" s="17" t="s">
        <v>83</v>
      </c>
      <c r="C59" s="3" t="s">
        <v>15</v>
      </c>
    </row>
    <row r="60" spans="1:3" ht="24" thickBot="1" x14ac:dyDescent="0.6">
      <c r="A60" s="2" t="s">
        <v>32</v>
      </c>
      <c r="B60" s="17" t="s">
        <v>84</v>
      </c>
      <c r="C60" s="3" t="s">
        <v>89</v>
      </c>
    </row>
    <row r="61" spans="1:3" ht="24" thickBot="1" x14ac:dyDescent="0.6">
      <c r="A61" s="2" t="s">
        <v>33</v>
      </c>
      <c r="B61" s="17" t="s">
        <v>77</v>
      </c>
      <c r="C61" s="3" t="s">
        <v>15</v>
      </c>
    </row>
    <row r="62" spans="1:3" ht="24" thickBot="1" x14ac:dyDescent="0.6">
      <c r="A62" s="2" t="s">
        <v>33</v>
      </c>
      <c r="B62" s="17" t="s">
        <v>80</v>
      </c>
      <c r="C62" s="3">
        <v>0</v>
      </c>
    </row>
    <row r="63" spans="1:3" ht="24" thickBot="1" x14ac:dyDescent="0.6">
      <c r="A63" s="2" t="s">
        <v>33</v>
      </c>
      <c r="B63" s="17" t="s">
        <v>83</v>
      </c>
      <c r="C63" s="3" t="s">
        <v>15</v>
      </c>
    </row>
    <row r="64" spans="1:3" ht="24" thickBot="1" x14ac:dyDescent="0.6">
      <c r="A64" s="2" t="s">
        <v>33</v>
      </c>
      <c r="B64" s="17" t="s">
        <v>84</v>
      </c>
      <c r="C64" s="3" t="s">
        <v>89</v>
      </c>
    </row>
    <row r="65" spans="1:3" ht="24" thickBot="1" x14ac:dyDescent="0.6">
      <c r="A65" s="2" t="s">
        <v>34</v>
      </c>
      <c r="B65" s="17" t="s">
        <v>77</v>
      </c>
      <c r="C65" s="3" t="s">
        <v>15</v>
      </c>
    </row>
    <row r="66" spans="1:3" ht="24" thickBot="1" x14ac:dyDescent="0.6">
      <c r="A66" s="2" t="s">
        <v>34</v>
      </c>
      <c r="B66" s="17" t="s">
        <v>80</v>
      </c>
      <c r="C66" s="3">
        <v>1</v>
      </c>
    </row>
    <row r="67" spans="1:3" ht="24" thickBot="1" x14ac:dyDescent="0.6">
      <c r="A67" s="2" t="s">
        <v>34</v>
      </c>
      <c r="B67" s="17" t="s">
        <v>81</v>
      </c>
      <c r="C67" s="3" t="s">
        <v>91</v>
      </c>
    </row>
    <row r="68" spans="1:3" ht="24" thickBot="1" x14ac:dyDescent="0.6">
      <c r="A68" s="2" t="s">
        <v>34</v>
      </c>
      <c r="B68" s="17" t="s">
        <v>82</v>
      </c>
      <c r="C68" s="3" t="s">
        <v>95</v>
      </c>
    </row>
    <row r="69" spans="1:3" ht="24" thickBot="1" x14ac:dyDescent="0.6">
      <c r="A69" s="2" t="s">
        <v>34</v>
      </c>
      <c r="B69" s="17" t="s">
        <v>83</v>
      </c>
      <c r="C69" s="3" t="s">
        <v>15</v>
      </c>
    </row>
    <row r="70" spans="1:3" ht="24" thickBot="1" x14ac:dyDescent="0.6">
      <c r="A70" s="2" t="s">
        <v>34</v>
      </c>
      <c r="B70" s="17" t="s">
        <v>84</v>
      </c>
      <c r="C70" s="3" t="s">
        <v>89</v>
      </c>
    </row>
    <row r="71" spans="1:3" ht="24" thickBot="1" x14ac:dyDescent="0.6">
      <c r="A71" s="2" t="s">
        <v>35</v>
      </c>
      <c r="B71" s="17" t="s">
        <v>77</v>
      </c>
      <c r="C71" s="3" t="s">
        <v>16</v>
      </c>
    </row>
    <row r="72" spans="1:3" ht="24" thickBot="1" x14ac:dyDescent="0.6">
      <c r="A72" s="2" t="s">
        <v>35</v>
      </c>
      <c r="B72" s="17" t="s">
        <v>80</v>
      </c>
      <c r="C72" s="3">
        <v>5</v>
      </c>
    </row>
    <row r="73" spans="1:3" ht="24" thickBot="1" x14ac:dyDescent="0.6">
      <c r="A73" s="2" t="s">
        <v>35</v>
      </c>
      <c r="B73" s="17" t="s">
        <v>81</v>
      </c>
      <c r="C73" s="3" t="s">
        <v>97</v>
      </c>
    </row>
    <row r="74" spans="1:3" ht="24" thickBot="1" x14ac:dyDescent="0.6">
      <c r="A74" s="2" t="s">
        <v>35</v>
      </c>
      <c r="B74" s="17" t="s">
        <v>82</v>
      </c>
      <c r="C74" s="3" t="s">
        <v>95</v>
      </c>
    </row>
    <row r="75" spans="1:3" ht="24" thickBot="1" x14ac:dyDescent="0.6">
      <c r="A75" s="2" t="s">
        <v>35</v>
      </c>
      <c r="B75" s="17" t="s">
        <v>83</v>
      </c>
      <c r="C75" s="3" t="s">
        <v>15</v>
      </c>
    </row>
    <row r="76" spans="1:3" ht="24" thickBot="1" x14ac:dyDescent="0.6">
      <c r="A76" s="2" t="s">
        <v>35</v>
      </c>
      <c r="B76" s="17" t="s">
        <v>84</v>
      </c>
      <c r="C76" s="3" t="s">
        <v>89</v>
      </c>
    </row>
    <row r="77" spans="1:3" ht="24" thickBot="1" x14ac:dyDescent="0.6">
      <c r="A77" s="2" t="s">
        <v>37</v>
      </c>
      <c r="B77" s="17" t="s">
        <v>77</v>
      </c>
      <c r="C77" s="3" t="s">
        <v>15</v>
      </c>
    </row>
    <row r="78" spans="1:3" ht="24" thickBot="1" x14ac:dyDescent="0.6">
      <c r="A78" s="2" t="s">
        <v>37</v>
      </c>
      <c r="B78" s="17" t="s">
        <v>80</v>
      </c>
      <c r="C78" s="3">
        <v>1</v>
      </c>
    </row>
    <row r="79" spans="1:3" ht="24" thickBot="1" x14ac:dyDescent="0.6">
      <c r="A79" s="2" t="s">
        <v>37</v>
      </c>
      <c r="B79" s="17" t="s">
        <v>81</v>
      </c>
      <c r="C79" s="3" t="s">
        <v>97</v>
      </c>
    </row>
    <row r="80" spans="1:3" ht="24" thickBot="1" x14ac:dyDescent="0.6">
      <c r="A80" s="2" t="s">
        <v>37</v>
      </c>
      <c r="B80" s="17" t="s">
        <v>82</v>
      </c>
      <c r="C80" s="3" t="s">
        <v>87</v>
      </c>
    </row>
    <row r="81" spans="1:3" ht="24" thickBot="1" x14ac:dyDescent="0.6">
      <c r="A81" s="2" t="s">
        <v>37</v>
      </c>
      <c r="B81" s="17" t="s">
        <v>83</v>
      </c>
      <c r="C81" s="3" t="s">
        <v>15</v>
      </c>
    </row>
    <row r="82" spans="1:3" ht="24" thickBot="1" x14ac:dyDescent="0.6">
      <c r="A82" s="2" t="s">
        <v>37</v>
      </c>
      <c r="B82" s="17" t="s">
        <v>84</v>
      </c>
      <c r="C82" s="3" t="s">
        <v>89</v>
      </c>
    </row>
    <row r="83" spans="1:3" ht="24" thickBot="1" x14ac:dyDescent="0.6">
      <c r="A83" s="2" t="s">
        <v>38</v>
      </c>
      <c r="B83" s="17" t="s">
        <v>77</v>
      </c>
      <c r="C83" s="3" t="s">
        <v>16</v>
      </c>
    </row>
    <row r="84" spans="1:3" ht="24" thickBot="1" x14ac:dyDescent="0.6">
      <c r="A84" s="2" t="s">
        <v>38</v>
      </c>
      <c r="B84" s="17" t="s">
        <v>80</v>
      </c>
      <c r="C84" s="3">
        <v>0</v>
      </c>
    </row>
    <row r="85" spans="1:3" ht="24" thickBot="1" x14ac:dyDescent="0.6">
      <c r="A85" s="2" t="s">
        <v>38</v>
      </c>
      <c r="B85" s="17" t="s">
        <v>82</v>
      </c>
      <c r="C85" s="3" t="s">
        <v>87</v>
      </c>
    </row>
    <row r="86" spans="1:3" ht="24" thickBot="1" x14ac:dyDescent="0.6">
      <c r="A86" s="2" t="s">
        <v>38</v>
      </c>
      <c r="B86" s="17" t="s">
        <v>83</v>
      </c>
      <c r="C86" s="3" t="s">
        <v>15</v>
      </c>
    </row>
    <row r="87" spans="1:3" ht="24" thickBot="1" x14ac:dyDescent="0.6">
      <c r="A87" s="2" t="s">
        <v>38</v>
      </c>
      <c r="B87" s="17" t="s">
        <v>84</v>
      </c>
      <c r="C87" s="3" t="s">
        <v>89</v>
      </c>
    </row>
    <row r="88" spans="1:3" ht="24" thickBot="1" x14ac:dyDescent="0.6">
      <c r="A88" s="2" t="s">
        <v>39</v>
      </c>
      <c r="B88" s="17" t="s">
        <v>77</v>
      </c>
      <c r="C88" s="3" t="s">
        <v>15</v>
      </c>
    </row>
    <row r="89" spans="1:3" ht="24" thickBot="1" x14ac:dyDescent="0.6">
      <c r="A89" s="2" t="s">
        <v>39</v>
      </c>
      <c r="B89" s="17" t="s">
        <v>80</v>
      </c>
      <c r="C89" s="3">
        <v>8</v>
      </c>
    </row>
    <row r="90" spans="1:3" ht="24" thickBot="1" x14ac:dyDescent="0.6">
      <c r="A90" s="2" t="s">
        <v>39</v>
      </c>
      <c r="B90" s="17" t="s">
        <v>81</v>
      </c>
      <c r="C90" s="3" t="s">
        <v>93</v>
      </c>
    </row>
    <row r="91" spans="1:3" ht="24" thickBot="1" x14ac:dyDescent="0.6">
      <c r="A91" s="2" t="s">
        <v>39</v>
      </c>
      <c r="B91" s="17" t="s">
        <v>82</v>
      </c>
      <c r="C91" s="3" t="s">
        <v>87</v>
      </c>
    </row>
    <row r="92" spans="1:3" ht="24" thickBot="1" x14ac:dyDescent="0.6">
      <c r="A92" s="2" t="s">
        <v>39</v>
      </c>
      <c r="B92" s="17" t="s">
        <v>83</v>
      </c>
      <c r="C92" s="3" t="s">
        <v>15</v>
      </c>
    </row>
    <row r="93" spans="1:3" ht="24" thickBot="1" x14ac:dyDescent="0.6">
      <c r="A93" s="2" t="s">
        <v>39</v>
      </c>
      <c r="B93" s="17" t="s">
        <v>84</v>
      </c>
      <c r="C93" s="3" t="s">
        <v>89</v>
      </c>
    </row>
    <row r="94" spans="1:3" ht="24" thickBot="1" x14ac:dyDescent="0.6">
      <c r="A94" s="2" t="s">
        <v>40</v>
      </c>
      <c r="B94" s="17" t="s">
        <v>77</v>
      </c>
      <c r="C94" s="3" t="s">
        <v>16</v>
      </c>
    </row>
    <row r="95" spans="1:3" ht="24" thickBot="1" x14ac:dyDescent="0.6">
      <c r="A95" s="2" t="s">
        <v>40</v>
      </c>
      <c r="B95" s="17" t="s">
        <v>80</v>
      </c>
      <c r="C95" s="3">
        <v>2</v>
      </c>
    </row>
    <row r="96" spans="1:3" ht="24" thickBot="1" x14ac:dyDescent="0.6">
      <c r="A96" s="2" t="s">
        <v>40</v>
      </c>
      <c r="B96" s="17" t="s">
        <v>81</v>
      </c>
      <c r="C96" s="3" t="s">
        <v>93</v>
      </c>
    </row>
    <row r="97" spans="1:3" ht="24" thickBot="1" x14ac:dyDescent="0.6">
      <c r="A97" s="2" t="s">
        <v>40</v>
      </c>
      <c r="B97" s="17" t="s">
        <v>82</v>
      </c>
      <c r="C97" s="3" t="s">
        <v>95</v>
      </c>
    </row>
    <row r="98" spans="1:3" ht="24" thickBot="1" x14ac:dyDescent="0.6">
      <c r="A98" s="2" t="s">
        <v>40</v>
      </c>
      <c r="B98" s="17" t="s">
        <v>83</v>
      </c>
      <c r="C98" s="3" t="s">
        <v>15</v>
      </c>
    </row>
    <row r="99" spans="1:3" ht="24" thickBot="1" x14ac:dyDescent="0.6">
      <c r="A99" s="2" t="s">
        <v>40</v>
      </c>
      <c r="B99" s="17" t="s">
        <v>84</v>
      </c>
      <c r="C99" s="3" t="s">
        <v>88</v>
      </c>
    </row>
    <row r="100" spans="1:3" ht="24" thickBot="1" x14ac:dyDescent="0.6">
      <c r="A100" s="2" t="s">
        <v>41</v>
      </c>
      <c r="B100" s="17" t="s">
        <v>77</v>
      </c>
      <c r="C100" s="3" t="s">
        <v>15</v>
      </c>
    </row>
    <row r="101" spans="1:3" ht="24" thickBot="1" x14ac:dyDescent="0.6">
      <c r="A101" s="2" t="s">
        <v>41</v>
      </c>
      <c r="B101" s="17" t="s">
        <v>80</v>
      </c>
      <c r="C101" s="3">
        <v>3</v>
      </c>
    </row>
    <row r="102" spans="1:3" ht="24" thickBot="1" x14ac:dyDescent="0.6">
      <c r="A102" s="2" t="s">
        <v>41</v>
      </c>
      <c r="B102" s="17" t="s">
        <v>81</v>
      </c>
      <c r="C102" s="3" t="s">
        <v>93</v>
      </c>
    </row>
    <row r="103" spans="1:3" ht="24" thickBot="1" x14ac:dyDescent="0.6">
      <c r="A103" s="2" t="s">
        <v>41</v>
      </c>
      <c r="B103" s="17" t="s">
        <v>82</v>
      </c>
      <c r="C103" s="3" t="s">
        <v>95</v>
      </c>
    </row>
    <row r="104" spans="1:3" ht="24" thickBot="1" x14ac:dyDescent="0.6">
      <c r="A104" s="2" t="s">
        <v>41</v>
      </c>
      <c r="B104" s="17" t="s">
        <v>83</v>
      </c>
      <c r="C104" s="3" t="s">
        <v>15</v>
      </c>
    </row>
    <row r="105" spans="1:3" ht="24" thickBot="1" x14ac:dyDescent="0.6">
      <c r="A105" s="2" t="s">
        <v>41</v>
      </c>
      <c r="B105" s="17" t="s">
        <v>84</v>
      </c>
      <c r="C105" s="3" t="s">
        <v>88</v>
      </c>
    </row>
    <row r="106" spans="1:3" ht="24" thickBot="1" x14ac:dyDescent="0.6">
      <c r="A106" s="2" t="s">
        <v>42</v>
      </c>
      <c r="B106" s="17" t="s">
        <v>77</v>
      </c>
      <c r="C106" s="3" t="s">
        <v>15</v>
      </c>
    </row>
    <row r="107" spans="1:3" ht="24" thickBot="1" x14ac:dyDescent="0.6">
      <c r="A107" s="2" t="s">
        <v>42</v>
      </c>
      <c r="B107" s="17" t="s">
        <v>80</v>
      </c>
      <c r="C107" s="3">
        <v>0</v>
      </c>
    </row>
    <row r="108" spans="1:3" ht="24" thickBot="1" x14ac:dyDescent="0.6">
      <c r="A108" s="2" t="s">
        <v>42</v>
      </c>
      <c r="B108" s="17" t="s">
        <v>83</v>
      </c>
      <c r="C108" s="3" t="s">
        <v>15</v>
      </c>
    </row>
    <row r="109" spans="1:3" ht="24" thickBot="1" x14ac:dyDescent="0.6">
      <c r="A109" s="2" t="s">
        <v>42</v>
      </c>
      <c r="B109" s="17" t="s">
        <v>84</v>
      </c>
      <c r="C109" s="3" t="s">
        <v>92</v>
      </c>
    </row>
    <row r="110" spans="1:3" ht="24" thickBot="1" x14ac:dyDescent="0.6">
      <c r="A110" s="2" t="s">
        <v>43</v>
      </c>
      <c r="B110" s="17" t="s">
        <v>77</v>
      </c>
      <c r="C110" s="3" t="s">
        <v>16</v>
      </c>
    </row>
    <row r="111" spans="1:3" ht="24" thickBot="1" x14ac:dyDescent="0.6">
      <c r="A111" s="2" t="s">
        <v>43</v>
      </c>
      <c r="B111" s="17" t="s">
        <v>83</v>
      </c>
      <c r="C111" s="3" t="s">
        <v>15</v>
      </c>
    </row>
    <row r="112" spans="1:3" ht="24" thickBot="1" x14ac:dyDescent="0.6">
      <c r="A112" s="2" t="s">
        <v>43</v>
      </c>
      <c r="B112" s="17" t="s">
        <v>84</v>
      </c>
      <c r="C112" s="3" t="s">
        <v>89</v>
      </c>
    </row>
    <row r="113" spans="1:3" ht="24" thickBot="1" x14ac:dyDescent="0.6">
      <c r="A113" s="2" t="s">
        <v>44</v>
      </c>
      <c r="B113" s="17" t="s">
        <v>77</v>
      </c>
      <c r="C113" s="3" t="s">
        <v>15</v>
      </c>
    </row>
    <row r="114" spans="1:3" ht="24" thickBot="1" x14ac:dyDescent="0.6">
      <c r="A114" s="2" t="s">
        <v>44</v>
      </c>
      <c r="B114" s="17" t="s">
        <v>81</v>
      </c>
      <c r="C114" s="3" t="s">
        <v>86</v>
      </c>
    </row>
    <row r="115" spans="1:3" ht="24" thickBot="1" x14ac:dyDescent="0.6">
      <c r="A115" s="2" t="s">
        <v>44</v>
      </c>
      <c r="B115" s="17" t="s">
        <v>82</v>
      </c>
      <c r="C115" s="3" t="s">
        <v>95</v>
      </c>
    </row>
    <row r="116" spans="1:3" ht="24" thickBot="1" x14ac:dyDescent="0.6">
      <c r="A116" s="2" t="s">
        <v>44</v>
      </c>
      <c r="B116" s="17" t="s">
        <v>83</v>
      </c>
      <c r="C116" s="3" t="s">
        <v>15</v>
      </c>
    </row>
    <row r="117" spans="1:3" ht="24" thickBot="1" x14ac:dyDescent="0.6">
      <c r="A117" s="2" t="s">
        <v>44</v>
      </c>
      <c r="B117" s="17" t="s">
        <v>84</v>
      </c>
      <c r="C117" s="3" t="s">
        <v>88</v>
      </c>
    </row>
    <row r="118" spans="1:3" ht="24" thickBot="1" x14ac:dyDescent="0.6">
      <c r="A118" s="2" t="s">
        <v>45</v>
      </c>
      <c r="B118" s="17" t="s">
        <v>77</v>
      </c>
      <c r="C118" s="3" t="s">
        <v>15</v>
      </c>
    </row>
    <row r="119" spans="1:3" ht="24" thickBot="1" x14ac:dyDescent="0.6">
      <c r="A119" s="2" t="s">
        <v>45</v>
      </c>
      <c r="B119" s="17" t="s">
        <v>80</v>
      </c>
      <c r="C119" s="3">
        <v>17</v>
      </c>
    </row>
    <row r="120" spans="1:3" ht="24" thickBot="1" x14ac:dyDescent="0.6">
      <c r="A120" s="2" t="s">
        <v>45</v>
      </c>
      <c r="B120" s="17" t="s">
        <v>81</v>
      </c>
      <c r="C120" s="3" t="s">
        <v>91</v>
      </c>
    </row>
    <row r="121" spans="1:3" ht="24" thickBot="1" x14ac:dyDescent="0.6">
      <c r="A121" s="2" t="s">
        <v>45</v>
      </c>
      <c r="B121" s="17" t="s">
        <v>82</v>
      </c>
      <c r="C121" s="3" t="s">
        <v>100</v>
      </c>
    </row>
    <row r="122" spans="1:3" ht="24" thickBot="1" x14ac:dyDescent="0.6">
      <c r="A122" s="2" t="s">
        <v>45</v>
      </c>
      <c r="B122" s="17" t="s">
        <v>83</v>
      </c>
      <c r="C122" s="3" t="s">
        <v>15</v>
      </c>
    </row>
    <row r="123" spans="1:3" ht="24" thickBot="1" x14ac:dyDescent="0.6">
      <c r="A123" s="2" t="s">
        <v>45</v>
      </c>
      <c r="B123" s="17" t="s">
        <v>84</v>
      </c>
      <c r="C123" s="3" t="s">
        <v>101</v>
      </c>
    </row>
    <row r="124" spans="1:3" ht="24" thickBot="1" x14ac:dyDescent="0.6">
      <c r="A124" s="2" t="s">
        <v>46</v>
      </c>
      <c r="B124" s="17" t="s">
        <v>77</v>
      </c>
      <c r="C124" s="3" t="s">
        <v>16</v>
      </c>
    </row>
    <row r="125" spans="1:3" ht="24" thickBot="1" x14ac:dyDescent="0.6">
      <c r="A125" s="2" t="s">
        <v>46</v>
      </c>
      <c r="B125" s="17" t="s">
        <v>80</v>
      </c>
      <c r="C125" s="3">
        <v>0</v>
      </c>
    </row>
    <row r="126" spans="1:3" ht="24" thickBot="1" x14ac:dyDescent="0.6">
      <c r="A126" s="2" t="s">
        <v>46</v>
      </c>
      <c r="B126" s="17" t="s">
        <v>83</v>
      </c>
      <c r="C126" s="3" t="s">
        <v>15</v>
      </c>
    </row>
    <row r="127" spans="1:3" ht="24" thickBot="1" x14ac:dyDescent="0.6">
      <c r="A127" s="2" t="s">
        <v>46</v>
      </c>
      <c r="B127" s="17" t="s">
        <v>84</v>
      </c>
      <c r="C127" s="3" t="s">
        <v>92</v>
      </c>
    </row>
    <row r="128" spans="1:3" ht="24" thickBot="1" x14ac:dyDescent="0.6">
      <c r="A128" s="2" t="s">
        <v>47</v>
      </c>
      <c r="B128" s="17" t="s">
        <v>77</v>
      </c>
      <c r="C128" s="3" t="s">
        <v>15</v>
      </c>
    </row>
    <row r="129" spans="1:3" ht="24" thickBot="1" x14ac:dyDescent="0.6">
      <c r="A129" s="2" t="s">
        <v>47</v>
      </c>
      <c r="B129" s="17" t="s">
        <v>80</v>
      </c>
      <c r="C129" s="3">
        <v>1</v>
      </c>
    </row>
    <row r="130" spans="1:3" ht="24" thickBot="1" x14ac:dyDescent="0.6">
      <c r="A130" s="2" t="s">
        <v>47</v>
      </c>
      <c r="B130" s="17" t="s">
        <v>81</v>
      </c>
      <c r="C130" s="3" t="s">
        <v>86</v>
      </c>
    </row>
    <row r="131" spans="1:3" ht="24" thickBot="1" x14ac:dyDescent="0.6">
      <c r="A131" s="2" t="s">
        <v>47</v>
      </c>
      <c r="B131" s="17" t="s">
        <v>82</v>
      </c>
      <c r="C131" s="3" t="s">
        <v>87</v>
      </c>
    </row>
    <row r="132" spans="1:3" ht="24" thickBot="1" x14ac:dyDescent="0.6">
      <c r="A132" s="2" t="s">
        <v>47</v>
      </c>
      <c r="B132" s="17" t="s">
        <v>83</v>
      </c>
      <c r="C132" s="3" t="s">
        <v>15</v>
      </c>
    </row>
    <row r="133" spans="1:3" ht="24" thickBot="1" x14ac:dyDescent="0.6">
      <c r="A133" s="2" t="s">
        <v>47</v>
      </c>
      <c r="B133" s="17" t="s">
        <v>84</v>
      </c>
      <c r="C133" s="3" t="s">
        <v>88</v>
      </c>
    </row>
    <row r="134" spans="1:3" ht="24" thickBot="1" x14ac:dyDescent="0.6">
      <c r="A134" s="2" t="s">
        <v>48</v>
      </c>
      <c r="B134" s="17" t="s">
        <v>77</v>
      </c>
      <c r="C134" s="3" t="s">
        <v>16</v>
      </c>
    </row>
    <row r="135" spans="1:3" ht="24" thickBot="1" x14ac:dyDescent="0.6">
      <c r="A135" s="2" t="s">
        <v>48</v>
      </c>
      <c r="B135" s="17" t="s">
        <v>80</v>
      </c>
      <c r="C135" s="3">
        <v>0</v>
      </c>
    </row>
    <row r="136" spans="1:3" ht="24" thickBot="1" x14ac:dyDescent="0.6">
      <c r="A136" s="2" t="s">
        <v>48</v>
      </c>
      <c r="B136" s="17" t="s">
        <v>84</v>
      </c>
      <c r="C136" s="3" t="s">
        <v>92</v>
      </c>
    </row>
    <row r="137" spans="1:3" ht="24" thickBot="1" x14ac:dyDescent="0.6">
      <c r="A137" s="2" t="s">
        <v>49</v>
      </c>
      <c r="B137" s="17" t="s">
        <v>77</v>
      </c>
      <c r="C137" s="3" t="s">
        <v>15</v>
      </c>
    </row>
    <row r="138" spans="1:3" ht="24" thickBot="1" x14ac:dyDescent="0.6">
      <c r="A138" s="2" t="s">
        <v>49</v>
      </c>
      <c r="B138" s="17" t="s">
        <v>80</v>
      </c>
      <c r="C138" s="3">
        <v>0</v>
      </c>
    </row>
    <row r="139" spans="1:3" ht="24" thickBot="1" x14ac:dyDescent="0.6">
      <c r="A139" s="2" t="s">
        <v>50</v>
      </c>
      <c r="B139" s="17" t="s">
        <v>77</v>
      </c>
      <c r="C139" s="3" t="s">
        <v>15</v>
      </c>
    </row>
    <row r="140" spans="1:3" ht="24" thickBot="1" x14ac:dyDescent="0.6">
      <c r="A140" s="2" t="s">
        <v>50</v>
      </c>
      <c r="B140" s="17" t="s">
        <v>83</v>
      </c>
      <c r="C140" s="3" t="s">
        <v>15</v>
      </c>
    </row>
    <row r="141" spans="1:3" ht="24" thickBot="1" x14ac:dyDescent="0.6">
      <c r="A141" s="2" t="s">
        <v>50</v>
      </c>
      <c r="B141" s="17" t="s">
        <v>84</v>
      </c>
      <c r="C141" s="3" t="s">
        <v>88</v>
      </c>
    </row>
    <row r="142" spans="1:3" ht="24" thickBot="1" x14ac:dyDescent="0.6">
      <c r="A142" s="2" t="s">
        <v>51</v>
      </c>
      <c r="B142" s="17" t="s">
        <v>77</v>
      </c>
      <c r="C142" s="3" t="s">
        <v>15</v>
      </c>
    </row>
    <row r="143" spans="1:3" ht="24" thickBot="1" x14ac:dyDescent="0.6">
      <c r="A143" s="2" t="s">
        <v>51</v>
      </c>
      <c r="B143" s="17" t="s">
        <v>80</v>
      </c>
      <c r="C143" s="3">
        <v>0</v>
      </c>
    </row>
    <row r="144" spans="1:3" ht="24" thickBot="1" x14ac:dyDescent="0.6">
      <c r="A144" s="2" t="s">
        <v>52</v>
      </c>
      <c r="B144" s="17" t="s">
        <v>77</v>
      </c>
      <c r="C144" s="3" t="s">
        <v>15</v>
      </c>
    </row>
    <row r="145" spans="1:3" ht="24" thickBot="1" x14ac:dyDescent="0.6">
      <c r="A145" s="2" t="s">
        <v>52</v>
      </c>
      <c r="B145" s="17" t="s">
        <v>80</v>
      </c>
      <c r="C145" s="3">
        <v>0</v>
      </c>
    </row>
    <row r="146" spans="1:3" ht="24" thickBot="1" x14ac:dyDescent="0.6">
      <c r="A146" s="2" t="s">
        <v>52</v>
      </c>
      <c r="B146" s="17" t="s">
        <v>83</v>
      </c>
      <c r="C146" s="3" t="s">
        <v>15</v>
      </c>
    </row>
    <row r="147" spans="1:3" ht="24" thickBot="1" x14ac:dyDescent="0.6">
      <c r="A147" s="2" t="s">
        <v>52</v>
      </c>
      <c r="B147" s="17" t="s">
        <v>84</v>
      </c>
      <c r="C147" s="3" t="s">
        <v>89</v>
      </c>
    </row>
  </sheetData>
  <autoFilter ref="A1:C147" xr:uid="{6900EA4F-F439-1843-82DF-E7F216EDB786}"/>
  <dataValidations disablePrompts="1" count="6">
    <dataValidation type="list" allowBlank="1" showInputMessage="1" showErrorMessage="1" sqref="A2:A147" xr:uid="{D92843DC-FFF2-6841-8B61-C963C7F6B87E}">
      <formula1>Country</formula1>
    </dataValidation>
    <dataValidation type="list" allowBlank="1" showInputMessage="1" showErrorMessage="1" promptTitle="Select from the list" prompt="Select from the list" sqref="C2 C8 C10 C14 C20 C23 C29 C34 C40 C43 C46:C47 C49 C55 C61 C65 C71 C77 C83 C88 C94 C100 C106 C110 C113 C118 C124 C128 C134 C137 C139 C142 C144" xr:uid="{FD23028A-9849-ED49-B65E-0DFFBEEB4097}">
      <formula1>"YES, NO, IN PROGRESS, PLANNED"</formula1>
    </dataValidation>
    <dataValidation type="list" allowBlank="1" showInputMessage="1" showErrorMessage="1" promptTitle="Select from the list" prompt="Select from the list" sqref="C4 C16 C25 C31 C36 C51 C57 C67 C73 C79 C90 C96 C102 C114 C120 C130 G4:G7" xr:uid="{99FDB279-1DD3-5D4D-9E12-0627B6A7517A}">
      <formula1>"1-3 days, 4-6 days, 7-14 days, 15 days &amp; +"</formula1>
    </dataValidation>
    <dataValidation type="list" allowBlank="1" showInputMessage="1" showErrorMessage="1" promptTitle="Select from the list" prompt="Select from the list" sqref="C5 C17 C26 C37 C52 C58 C68 C74 C80 C85 C91 C97 C103 C115 C121 C131" xr:uid="{FBDE282C-66F0-D349-8B34-A8E328DA6CA3}">
      <formula1>"Often locally, Often across the country "</formula1>
    </dataValidation>
    <dataValidation type="list" allowBlank="1" showInputMessage="1" showErrorMessage="1" promptTitle="Select from the list" prompt="Select from the list" sqref="C6 C9 C12 C18 C21 C27 C32 C38 C42 C44 C53 C59 C63 C69 C75 C81 C86 C92 C98 C104 C108 C111 C116 C122 C126 C132 C140 C146" xr:uid="{0345C4F6-7C47-9743-B7E1-1ED49FDEE8B3}">
      <formula1>"YES, NO, IN PROGRESS"</formula1>
    </dataValidation>
    <dataValidation type="list" allowBlank="1" showInputMessage="1" showErrorMessage="1" promptTitle="Select from the list" prompt="Select from the list" sqref="C7 C13 C19 C22 C28 C33 C39 C45 C54 C60 C64 C70 C76 C82 C87 C93 C99 C105 C109 C112 C117 C123 C127 C133 C136 C141 C147" xr:uid="{B36791C6-25A3-1041-893A-21A0D9D16572}">
      <formula1>"No impact, Limited impact, Significant impact"</formula1>
    </dataValidation>
  </dataValidation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F8861D-9B6F-B54E-B709-4731B42BF5EF}">
  <sheetPr>
    <tabColor rgb="FF00B050"/>
  </sheetPr>
  <dimension ref="B3:G42"/>
  <sheetViews>
    <sheetView showGridLines="0" topLeftCell="C1" zoomScale="70" zoomScaleNormal="70" workbookViewId="0">
      <selection activeCell="I41" sqref="I41"/>
    </sheetView>
  </sheetViews>
  <sheetFormatPr defaultColWidth="10.6640625" defaultRowHeight="16" x14ac:dyDescent="0.4"/>
  <cols>
    <col min="2" max="2" width="120.1640625" customWidth="1"/>
    <col min="3" max="4" width="10.83203125" style="84" customWidth="1"/>
    <col min="5" max="5" width="15.5" style="84" customWidth="1"/>
    <col min="6" max="6" width="18.33203125" style="84" customWidth="1"/>
    <col min="7" max="7" width="22.33203125" style="83" customWidth="1"/>
  </cols>
  <sheetData>
    <row r="3" spans="2:7" ht="68" thickBot="1" x14ac:dyDescent="0.45">
      <c r="B3" s="85" t="s">
        <v>145</v>
      </c>
      <c r="C3" s="86" t="s">
        <v>98</v>
      </c>
      <c r="D3" s="86" t="s">
        <v>102</v>
      </c>
      <c r="E3" s="86" t="s">
        <v>113</v>
      </c>
      <c r="F3" s="86" t="s">
        <v>114</v>
      </c>
      <c r="G3" s="87" t="s">
        <v>144</v>
      </c>
    </row>
    <row r="4" spans="2:7" ht="23" thickTop="1" x14ac:dyDescent="0.4">
      <c r="B4" s="88" t="s">
        <v>125</v>
      </c>
      <c r="C4" s="89"/>
      <c r="D4" s="89"/>
      <c r="E4" s="89"/>
      <c r="F4" s="89"/>
      <c r="G4" s="90"/>
    </row>
    <row r="5" spans="2:7" ht="47" x14ac:dyDescent="0.4">
      <c r="B5" s="91" t="s">
        <v>126</v>
      </c>
      <c r="C5" s="92">
        <f>MAX(C6:C13)</f>
        <v>32</v>
      </c>
      <c r="D5" s="92">
        <f t="shared" ref="D5:G5" si="0">MAX(D6:D13)</f>
        <v>10</v>
      </c>
      <c r="E5" s="93">
        <f t="shared" si="0"/>
        <v>1</v>
      </c>
      <c r="F5" s="93">
        <f>1-E5</f>
        <v>0</v>
      </c>
      <c r="G5" s="94">
        <f t="shared" si="0"/>
        <v>33</v>
      </c>
    </row>
    <row r="6" spans="2:7" ht="23.5" x14ac:dyDescent="0.4">
      <c r="B6" s="91" t="s">
        <v>127</v>
      </c>
      <c r="C6" s="92"/>
      <c r="D6" s="92"/>
      <c r="E6" s="93"/>
      <c r="F6" s="93"/>
      <c r="G6" s="94"/>
    </row>
    <row r="7" spans="2:7" ht="23.5" x14ac:dyDescent="0.4">
      <c r="B7" s="95" t="s">
        <v>67</v>
      </c>
      <c r="C7" s="92">
        <f>'Governace capacity'!G4</f>
        <v>31</v>
      </c>
      <c r="D7" s="92">
        <f>'Governace capacity'!H4</f>
        <v>1</v>
      </c>
      <c r="E7" s="96">
        <f>'Governace capacity'!I4</f>
        <v>0.96875</v>
      </c>
      <c r="F7" s="96">
        <f>'Governace capacity'!J4</f>
        <v>3.125E-2</v>
      </c>
      <c r="G7" s="94">
        <f>'Governace capacity'!K4</f>
        <v>32</v>
      </c>
    </row>
    <row r="8" spans="2:7" ht="23.5" x14ac:dyDescent="0.4">
      <c r="B8" s="95" t="s">
        <v>68</v>
      </c>
      <c r="C8" s="92">
        <f>'Governace capacity'!G5</f>
        <v>32</v>
      </c>
      <c r="D8" s="92">
        <f>'Governace capacity'!H5</f>
        <v>0</v>
      </c>
      <c r="E8" s="96">
        <f>'Governace capacity'!I5</f>
        <v>1</v>
      </c>
      <c r="F8" s="96">
        <f>'Governace capacity'!J5</f>
        <v>0</v>
      </c>
      <c r="G8" s="94">
        <f>'Governace capacity'!K5</f>
        <v>32</v>
      </c>
    </row>
    <row r="9" spans="2:7" ht="23.5" x14ac:dyDescent="0.4">
      <c r="B9" s="95" t="s">
        <v>69</v>
      </c>
      <c r="C9" s="92">
        <f>'Governace capacity'!G6</f>
        <v>29</v>
      </c>
      <c r="D9" s="92">
        <f>'Governace capacity'!H6</f>
        <v>4</v>
      </c>
      <c r="E9" s="96">
        <f>'Governace capacity'!I6</f>
        <v>0.87878787878787878</v>
      </c>
      <c r="F9" s="96">
        <f>'Governace capacity'!J6</f>
        <v>0.12121212121212122</v>
      </c>
      <c r="G9" s="94">
        <f>'Governace capacity'!K6</f>
        <v>33</v>
      </c>
    </row>
    <row r="10" spans="2:7" ht="23.5" x14ac:dyDescent="0.4">
      <c r="B10" s="95" t="s">
        <v>70</v>
      </c>
      <c r="C10" s="92">
        <f>'Governace capacity'!G7</f>
        <v>31</v>
      </c>
      <c r="D10" s="92">
        <f>'Governace capacity'!H7</f>
        <v>1</v>
      </c>
      <c r="E10" s="96">
        <f>'Governace capacity'!I7</f>
        <v>0.96875</v>
      </c>
      <c r="F10" s="96">
        <f>'Governace capacity'!J7</f>
        <v>3.125E-2</v>
      </c>
      <c r="G10" s="94">
        <f>'Governace capacity'!K7</f>
        <v>32</v>
      </c>
    </row>
    <row r="11" spans="2:7" ht="23.5" x14ac:dyDescent="0.4">
      <c r="B11" s="95" t="s">
        <v>71</v>
      </c>
      <c r="C11" s="92">
        <f>'Governace capacity'!G8</f>
        <v>28</v>
      </c>
      <c r="D11" s="92">
        <f>'Governace capacity'!H8</f>
        <v>4</v>
      </c>
      <c r="E11" s="96">
        <f>'Governace capacity'!I8</f>
        <v>0.875</v>
      </c>
      <c r="F11" s="96">
        <f>'Governace capacity'!J8</f>
        <v>0.125</v>
      </c>
      <c r="G11" s="94">
        <f>'Governace capacity'!K8</f>
        <v>32</v>
      </c>
    </row>
    <row r="12" spans="2:7" ht="23.5" x14ac:dyDescent="0.4">
      <c r="B12" s="95" t="s">
        <v>72</v>
      </c>
      <c r="C12" s="92">
        <f>'Governace capacity'!G9</f>
        <v>21</v>
      </c>
      <c r="D12" s="92">
        <f>'Governace capacity'!H9</f>
        <v>10</v>
      </c>
      <c r="E12" s="96">
        <f>'Governace capacity'!I9</f>
        <v>0.67741935483870963</v>
      </c>
      <c r="F12" s="96">
        <f>'Governace capacity'!J9</f>
        <v>0.32258064516129031</v>
      </c>
      <c r="G12" s="94">
        <f>'Governace capacity'!K9</f>
        <v>31</v>
      </c>
    </row>
    <row r="13" spans="2:7" ht="23.5" x14ac:dyDescent="0.4">
      <c r="B13" s="95" t="s">
        <v>73</v>
      </c>
      <c r="C13" s="92">
        <f>'Governace capacity'!G10</f>
        <v>22</v>
      </c>
      <c r="D13" s="92">
        <f>'Governace capacity'!H10</f>
        <v>7</v>
      </c>
      <c r="E13" s="96">
        <f>'Governace capacity'!I10</f>
        <v>0.75862068965517238</v>
      </c>
      <c r="F13" s="96">
        <f>'Governace capacity'!J10</f>
        <v>0.2413793103448276</v>
      </c>
      <c r="G13" s="94">
        <f>'Governace capacity'!K10</f>
        <v>29</v>
      </c>
    </row>
    <row r="14" spans="2:7" ht="23.5" x14ac:dyDescent="0.4">
      <c r="B14" s="91" t="s">
        <v>128</v>
      </c>
      <c r="C14" s="92">
        <f>'Governace capacity'!G11</f>
        <v>31</v>
      </c>
      <c r="D14" s="92">
        <f>'Governace capacity'!H11</f>
        <v>1</v>
      </c>
      <c r="E14" s="93">
        <f>'Governace capacity'!I11</f>
        <v>0.96875</v>
      </c>
      <c r="F14" s="93">
        <f>'Governace capacity'!J11</f>
        <v>3.125E-2</v>
      </c>
      <c r="G14" s="94">
        <f>'Governace capacity'!K11</f>
        <v>32</v>
      </c>
    </row>
    <row r="15" spans="2:7" ht="23.5" x14ac:dyDescent="0.4">
      <c r="B15" s="91" t="s">
        <v>129</v>
      </c>
      <c r="C15" s="92">
        <f>'Governace capacity'!G12</f>
        <v>24</v>
      </c>
      <c r="D15" s="92">
        <f>'Governace capacity'!H12</f>
        <v>7</v>
      </c>
      <c r="E15" s="93">
        <f>'Governace capacity'!I12</f>
        <v>0.77419354838709675</v>
      </c>
      <c r="F15" s="93">
        <f>'Governace capacity'!J12</f>
        <v>0.22580645161290322</v>
      </c>
      <c r="G15" s="94">
        <f>'Governace capacity'!K12</f>
        <v>31</v>
      </c>
    </row>
    <row r="16" spans="2:7" ht="23.5" x14ac:dyDescent="0.4">
      <c r="B16" s="91" t="s">
        <v>130</v>
      </c>
      <c r="C16" s="92">
        <f>'Governace capacity'!G13</f>
        <v>20</v>
      </c>
      <c r="D16" s="92">
        <f>'Governace capacity'!H13</f>
        <v>12</v>
      </c>
      <c r="E16" s="93">
        <f>'Governace capacity'!I13</f>
        <v>0.625</v>
      </c>
      <c r="F16" s="93">
        <f>'Governace capacity'!J13</f>
        <v>0.375</v>
      </c>
      <c r="G16" s="94">
        <f>'Governace capacity'!K13</f>
        <v>32</v>
      </c>
    </row>
    <row r="17" spans="2:7" ht="23.5" x14ac:dyDescent="0.4">
      <c r="B17" s="91" t="s">
        <v>131</v>
      </c>
      <c r="C17" s="92">
        <f>'Governace capacity'!G14</f>
        <v>14</v>
      </c>
      <c r="D17" s="92">
        <f>'Governace capacity'!H14</f>
        <v>13</v>
      </c>
      <c r="E17" s="93">
        <f>'Governace capacity'!I14</f>
        <v>0.51851851851851849</v>
      </c>
      <c r="F17" s="93">
        <f>'Governace capacity'!J14</f>
        <v>0.48148148148148145</v>
      </c>
      <c r="G17" s="94">
        <f>'Governace capacity'!K14</f>
        <v>27</v>
      </c>
    </row>
    <row r="18" spans="2:7" ht="23" thickBot="1" x14ac:dyDescent="0.45">
      <c r="B18" s="97" t="s">
        <v>122</v>
      </c>
      <c r="C18" s="98"/>
      <c r="D18" s="98"/>
      <c r="E18" s="98"/>
      <c r="F18" s="98"/>
      <c r="G18" s="98"/>
    </row>
    <row r="19" spans="2:7" ht="46.5" thickTop="1" x14ac:dyDescent="0.4">
      <c r="B19" s="99" t="s">
        <v>132</v>
      </c>
      <c r="C19" s="92">
        <f>'Existence of HRH Unit'!H3</f>
        <v>22</v>
      </c>
      <c r="D19" s="92">
        <f>'Existence of HRH Unit'!I3</f>
        <v>7</v>
      </c>
      <c r="E19" s="93">
        <f>'Existence of HRH Unit'!J3</f>
        <v>0.75862068965517238</v>
      </c>
      <c r="F19" s="93">
        <f>'Existence of HRH Unit'!K3</f>
        <v>0.2413793103448276</v>
      </c>
      <c r="G19" s="94">
        <f>'Existence of HRH Unit'!L3</f>
        <v>29</v>
      </c>
    </row>
    <row r="20" spans="2:7" ht="23" x14ac:dyDescent="0.4">
      <c r="B20" s="99" t="s">
        <v>133</v>
      </c>
      <c r="C20" s="92">
        <f>'Existence of HRH Unit'!H4</f>
        <v>24</v>
      </c>
      <c r="D20" s="92">
        <f>'Existence of HRH Unit'!I4</f>
        <v>5</v>
      </c>
      <c r="E20" s="93">
        <f>'Existence of HRH Unit'!J4</f>
        <v>0.82758620689655171</v>
      </c>
      <c r="F20" s="93">
        <f>'Existence of HRH Unit'!K4</f>
        <v>0.17241379310344829</v>
      </c>
      <c r="G20" s="94">
        <f>'Existence of HRH Unit'!L4</f>
        <v>29</v>
      </c>
    </row>
    <row r="21" spans="2:7" ht="46" x14ac:dyDescent="0.4">
      <c r="B21" s="99" t="s">
        <v>134</v>
      </c>
      <c r="C21" s="92">
        <f>'Existence of HRH Unit'!H5</f>
        <v>22</v>
      </c>
      <c r="D21" s="92">
        <f>'Existence of HRH Unit'!I5</f>
        <v>7</v>
      </c>
      <c r="E21" s="93">
        <f>'Existence of HRH Unit'!J5</f>
        <v>0.75862068965517238</v>
      </c>
      <c r="F21" s="93">
        <f>'Existence of HRH Unit'!K5</f>
        <v>0.2413793103448276</v>
      </c>
      <c r="G21" s="94">
        <f>'Existence of HRH Unit'!L5</f>
        <v>29</v>
      </c>
    </row>
    <row r="22" spans="2:7" ht="46.5" thickBot="1" x14ac:dyDescent="0.45">
      <c r="B22" s="100" t="s">
        <v>135</v>
      </c>
      <c r="C22" s="101">
        <f>'Existence of HRH Unit'!H6</f>
        <v>18</v>
      </c>
      <c r="D22" s="101">
        <f>'Existence of HRH Unit'!I6</f>
        <v>11</v>
      </c>
      <c r="E22" s="102">
        <f>'Existence of HRH Unit'!J6</f>
        <v>0.62068965517241381</v>
      </c>
      <c r="F22" s="102">
        <f>'Existence of HRH Unit'!K6</f>
        <v>0.37931034482758619</v>
      </c>
      <c r="G22" s="103">
        <f>'Existence of HRH Unit'!L6</f>
        <v>29</v>
      </c>
    </row>
    <row r="23" spans="2:7" ht="23.5" thickTop="1" thickBot="1" x14ac:dyDescent="0.45">
      <c r="B23" s="97" t="s">
        <v>123</v>
      </c>
      <c r="C23" s="98"/>
      <c r="D23" s="98"/>
      <c r="E23" s="98"/>
      <c r="F23" s="98"/>
      <c r="G23" s="98"/>
    </row>
    <row r="24" spans="2:7" ht="23.5" thickTop="1" x14ac:dyDescent="0.5">
      <c r="B24" s="104" t="s">
        <v>136</v>
      </c>
      <c r="C24" s="105">
        <f>'Working Conditions'!K4</f>
        <v>28</v>
      </c>
      <c r="D24" s="105">
        <f>'Working Conditions'!L4</f>
        <v>1</v>
      </c>
      <c r="E24" s="106">
        <f>'Working Conditions'!M4</f>
        <v>0.96551724137931039</v>
      </c>
      <c r="F24" s="106">
        <f>'Working Conditions'!N4</f>
        <v>3.4482758620689655E-2</v>
      </c>
      <c r="G24" s="107">
        <f>'Working Conditions'!O4</f>
        <v>29</v>
      </c>
    </row>
    <row r="25" spans="2:7" ht="23" x14ac:dyDescent="0.5">
      <c r="B25" s="104" t="s">
        <v>137</v>
      </c>
      <c r="C25" s="105">
        <f>'Working Conditions'!K5</f>
        <v>25</v>
      </c>
      <c r="D25" s="105">
        <f>'Working Conditions'!L5</f>
        <v>4</v>
      </c>
      <c r="E25" s="106">
        <f>'Working Conditions'!M5</f>
        <v>0.86206896551724133</v>
      </c>
      <c r="F25" s="106">
        <f>'Working Conditions'!N5</f>
        <v>0.13793103448275862</v>
      </c>
      <c r="G25" s="107">
        <f>'Working Conditions'!O5</f>
        <v>29</v>
      </c>
    </row>
    <row r="26" spans="2:7" ht="23" x14ac:dyDescent="0.5">
      <c r="B26" s="104" t="s">
        <v>138</v>
      </c>
      <c r="C26" s="105">
        <f>'Working Conditions'!K6</f>
        <v>15</v>
      </c>
      <c r="D26" s="105">
        <f>'Working Conditions'!L6</f>
        <v>13</v>
      </c>
      <c r="E26" s="106">
        <f>'Working Conditions'!M6</f>
        <v>0.5357142857142857</v>
      </c>
      <c r="F26" s="106">
        <f>'Working Conditions'!N6</f>
        <v>0.4642857142857143</v>
      </c>
      <c r="G26" s="107">
        <f>'Working Conditions'!O6</f>
        <v>28</v>
      </c>
    </row>
    <row r="27" spans="2:7" ht="23.5" thickBot="1" x14ac:dyDescent="0.55000000000000004">
      <c r="B27" s="108" t="s">
        <v>139</v>
      </c>
      <c r="C27" s="109">
        <f>'Working Conditions'!K7</f>
        <v>18</v>
      </c>
      <c r="D27" s="109">
        <f>'Working Conditions'!L7</f>
        <v>10</v>
      </c>
      <c r="E27" s="110">
        <f>'Working Conditions'!M7</f>
        <v>0.6428571428571429</v>
      </c>
      <c r="F27" s="110">
        <f>'Working Conditions'!N7</f>
        <v>0.35714285714285715</v>
      </c>
      <c r="G27" s="111">
        <f>'Working Conditions'!O7</f>
        <v>28</v>
      </c>
    </row>
    <row r="28" spans="2:7" ht="23.5" thickTop="1" thickBot="1" x14ac:dyDescent="0.45">
      <c r="B28" s="97" t="s">
        <v>124</v>
      </c>
      <c r="C28" s="98"/>
      <c r="D28" s="98"/>
      <c r="E28" s="98"/>
      <c r="F28" s="98"/>
      <c r="G28" s="98"/>
    </row>
    <row r="29" spans="2:7" ht="24" thickTop="1" x14ac:dyDescent="0.4">
      <c r="B29" s="1" t="s">
        <v>140</v>
      </c>
      <c r="C29" s="112">
        <f>'HRH Policy and Planning'!H3</f>
        <v>24</v>
      </c>
      <c r="D29" s="112">
        <f>'HRH Policy and Planning'!I3</f>
        <v>6</v>
      </c>
      <c r="E29" s="113">
        <f>'HRH Policy and Planning'!J3</f>
        <v>0.8</v>
      </c>
      <c r="F29" s="113">
        <f>'HRH Policy and Planning'!K3</f>
        <v>0.2</v>
      </c>
      <c r="G29" s="114">
        <f>'HRH Policy and Planning'!L3</f>
        <v>30</v>
      </c>
    </row>
    <row r="30" spans="2:7" ht="23.5" x14ac:dyDescent="0.4">
      <c r="B30" s="1" t="s">
        <v>141</v>
      </c>
      <c r="C30" s="92">
        <f>'HRH Policy and Planning'!H4</f>
        <v>22</v>
      </c>
      <c r="D30" s="92">
        <f>'HRH Policy and Planning'!I4</f>
        <v>13</v>
      </c>
      <c r="E30" s="93">
        <f>'HRH Policy and Planning'!J4</f>
        <v>0.62857142857142856</v>
      </c>
      <c r="F30" s="93">
        <f>'HRH Policy and Planning'!K4</f>
        <v>0.37142857142857144</v>
      </c>
      <c r="G30" s="94">
        <f>'HRH Policy and Planning'!L4</f>
        <v>35</v>
      </c>
    </row>
    <row r="31" spans="2:7" s="82" customFormat="1" ht="23.5" hidden="1" x14ac:dyDescent="0.4">
      <c r="B31" s="115" t="s">
        <v>4</v>
      </c>
      <c r="C31" s="116">
        <f>'HRH Policy and Planning'!H5</f>
        <v>6.416666666666667</v>
      </c>
      <c r="D31" s="117">
        <f>'HRH Policy and Planning'!I5</f>
        <v>0</v>
      </c>
      <c r="E31" s="118">
        <f>'HRH Policy and Planning'!J5</f>
        <v>0</v>
      </c>
      <c r="F31" s="118">
        <f>'HRH Policy and Planning'!K5</f>
        <v>0</v>
      </c>
      <c r="G31" s="119">
        <f>'HRH Policy and Planning'!L5</f>
        <v>0</v>
      </c>
    </row>
    <row r="32" spans="2:7" s="82" customFormat="1" ht="23.5" x14ac:dyDescent="0.4">
      <c r="B32" s="115" t="s">
        <v>147</v>
      </c>
      <c r="C32" s="117">
        <f>'HRH Policy and Planning'!H6</f>
        <v>20</v>
      </c>
      <c r="D32" s="117">
        <f>'HRH Policy and Planning'!I6</f>
        <v>5</v>
      </c>
      <c r="E32" s="118">
        <f>'HRH Policy and Planning'!J6</f>
        <v>0.8</v>
      </c>
      <c r="F32" s="118">
        <f>'HRH Policy and Planning'!K6</f>
        <v>0.2</v>
      </c>
      <c r="G32" s="119">
        <f>'HRH Policy and Planning'!L6</f>
        <v>25</v>
      </c>
    </row>
    <row r="33" spans="2:7" s="82" customFormat="1" ht="23.5" x14ac:dyDescent="0.4">
      <c r="B33" s="115" t="s">
        <v>148</v>
      </c>
      <c r="C33" s="117">
        <f>'HRH Policy and Planning'!H7</f>
        <v>23</v>
      </c>
      <c r="D33" s="117">
        <f>'HRH Policy and Planning'!I7</f>
        <v>2</v>
      </c>
      <c r="E33" s="118">
        <f>'HRH Policy and Planning'!J7</f>
        <v>0.92</v>
      </c>
      <c r="F33" s="118">
        <f>'HRH Policy and Planning'!K7</f>
        <v>0.08</v>
      </c>
      <c r="G33" s="119">
        <f>'HRH Policy and Planning'!L7</f>
        <v>25</v>
      </c>
    </row>
    <row r="34" spans="2:7" s="82" customFormat="1" ht="23.5" x14ac:dyDescent="0.4">
      <c r="B34" s="115" t="s">
        <v>149</v>
      </c>
      <c r="C34" s="117">
        <f>'HRH Policy and Planning'!H8</f>
        <v>4</v>
      </c>
      <c r="D34" s="117">
        <f>'HRH Policy and Planning'!I8</f>
        <v>20</v>
      </c>
      <c r="E34" s="118">
        <f>'HRH Policy and Planning'!J8</f>
        <v>0.16666666666666666</v>
      </c>
      <c r="F34" s="118">
        <f>'HRH Policy and Planning'!K8</f>
        <v>0.83333333333333337</v>
      </c>
      <c r="G34" s="119">
        <f>'HRH Policy and Planning'!L8</f>
        <v>24</v>
      </c>
    </row>
    <row r="35" spans="2:7" s="82" customFormat="1" ht="24" thickBot="1" x14ac:dyDescent="0.45">
      <c r="B35" s="120" t="s">
        <v>142</v>
      </c>
      <c r="C35" s="121"/>
      <c r="D35" s="121"/>
      <c r="E35" s="122"/>
      <c r="F35" s="122"/>
      <c r="G35" s="121"/>
    </row>
    <row r="36" spans="2:7" s="82" customFormat="1" ht="24" thickTop="1" x14ac:dyDescent="0.4">
      <c r="B36" s="115" t="s">
        <v>150</v>
      </c>
      <c r="C36" s="117">
        <f>'HRH Policy and Planning'!H10</f>
        <v>21</v>
      </c>
      <c r="D36" s="117">
        <f>'HRH Policy and Planning'!I10</f>
        <v>3</v>
      </c>
      <c r="E36" s="118">
        <f>'HRH Policy and Planning'!J10</f>
        <v>0.875</v>
      </c>
      <c r="F36" s="118">
        <f>'HRH Policy and Planning'!K10</f>
        <v>0.125</v>
      </c>
      <c r="G36" s="119">
        <f>'HRH Policy and Planning'!L10</f>
        <v>24</v>
      </c>
    </row>
    <row r="37" spans="2:7" s="82" customFormat="1" ht="23.5" x14ac:dyDescent="0.4">
      <c r="B37" s="115" t="s">
        <v>151</v>
      </c>
      <c r="C37" s="117">
        <f>'HRH Policy and Planning'!H11</f>
        <v>21</v>
      </c>
      <c r="D37" s="117">
        <f>'HRH Policy and Planning'!I11</f>
        <v>3</v>
      </c>
      <c r="E37" s="118">
        <f>'HRH Policy and Planning'!J11</f>
        <v>0.875</v>
      </c>
      <c r="F37" s="118">
        <f>'HRH Policy and Planning'!K11</f>
        <v>0.125</v>
      </c>
      <c r="G37" s="119">
        <f>'HRH Policy and Planning'!L11</f>
        <v>24</v>
      </c>
    </row>
    <row r="38" spans="2:7" s="82" customFormat="1" ht="23.5" x14ac:dyDescent="0.4">
      <c r="B38" s="115" t="s">
        <v>152</v>
      </c>
      <c r="C38" s="117">
        <f>'HRH Policy and Planning'!H12</f>
        <v>19</v>
      </c>
      <c r="D38" s="117">
        <f>'HRH Policy and Planning'!I12</f>
        <v>5</v>
      </c>
      <c r="E38" s="118">
        <f>'HRH Policy and Planning'!J12</f>
        <v>0.79166666666666663</v>
      </c>
      <c r="F38" s="118">
        <f>'HRH Policy and Planning'!K12</f>
        <v>0.20833333333333334</v>
      </c>
      <c r="G38" s="119">
        <f>'HRH Policy and Planning'!L12</f>
        <v>24</v>
      </c>
    </row>
    <row r="39" spans="2:7" s="82" customFormat="1" ht="23.5" x14ac:dyDescent="0.4">
      <c r="B39" s="115" t="s">
        <v>153</v>
      </c>
      <c r="C39" s="117">
        <f>'HRH Policy and Planning'!H13</f>
        <v>19</v>
      </c>
      <c r="D39" s="117">
        <f>'HRH Policy and Planning'!I13</f>
        <v>5</v>
      </c>
      <c r="E39" s="118">
        <f>'HRH Policy and Planning'!J13</f>
        <v>0.79166666666666663</v>
      </c>
      <c r="F39" s="118">
        <f>'HRH Policy and Planning'!K13</f>
        <v>0.20833333333333334</v>
      </c>
      <c r="G39" s="119">
        <f>'HRH Policy and Planning'!L13</f>
        <v>24</v>
      </c>
    </row>
    <row r="40" spans="2:7" s="82" customFormat="1" ht="23.5" x14ac:dyDescent="0.4">
      <c r="B40" s="115" t="s">
        <v>154</v>
      </c>
      <c r="C40" s="117">
        <f>'HRH Policy and Planning'!H14</f>
        <v>7</v>
      </c>
      <c r="D40" s="117">
        <f>'HRH Policy and Planning'!I14</f>
        <v>16</v>
      </c>
      <c r="E40" s="118">
        <f>'HRH Policy and Planning'!J14</f>
        <v>0.30434782608695654</v>
      </c>
      <c r="F40" s="118">
        <f>'HRH Policy and Planning'!K14</f>
        <v>0.69565217391304346</v>
      </c>
      <c r="G40" s="119">
        <f>'HRH Policy and Planning'!L14</f>
        <v>23</v>
      </c>
    </row>
    <row r="41" spans="2:7" ht="24" thickBot="1" x14ac:dyDescent="0.45">
      <c r="B41" s="75" t="s">
        <v>143</v>
      </c>
      <c r="C41" s="101">
        <f>'HRH Policy and Planning'!H15</f>
        <v>13</v>
      </c>
      <c r="D41" s="101">
        <f>'HRH Policy and Planning'!I15</f>
        <v>13</v>
      </c>
      <c r="E41" s="102">
        <f>'HRH Policy and Planning'!J15</f>
        <v>0.5</v>
      </c>
      <c r="F41" s="102">
        <f>'HRH Policy and Planning'!K15</f>
        <v>0.5</v>
      </c>
      <c r="G41" s="103">
        <f>'HRH Policy and Planning'!L15</f>
        <v>26</v>
      </c>
    </row>
    <row r="42" spans="2:7" ht="16.5" thickTop="1" x14ac:dyDescent="0.4"/>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A923CB-6451-544E-8478-8061CED7EE7F}">
  <sheetPr>
    <tabColor rgb="FF00B050"/>
  </sheetPr>
  <dimension ref="B3:I200"/>
  <sheetViews>
    <sheetView showGridLines="0" topLeftCell="A111" zoomScale="70" zoomScaleNormal="70" workbookViewId="0">
      <selection activeCell="H231" sqref="H231"/>
    </sheetView>
  </sheetViews>
  <sheetFormatPr defaultColWidth="10.6640625" defaultRowHeight="16" x14ac:dyDescent="0.4"/>
  <cols>
    <col min="2" max="2" width="120.1640625" customWidth="1"/>
    <col min="3" max="4" width="10.83203125" style="84" hidden="1" customWidth="1"/>
    <col min="5" max="5" width="15.5" style="84" customWidth="1"/>
    <col min="6" max="6" width="18.33203125" style="84" customWidth="1"/>
    <col min="7" max="7" width="22.33203125" style="83" customWidth="1"/>
  </cols>
  <sheetData>
    <row r="3" spans="2:7" ht="68" thickBot="1" x14ac:dyDescent="0.45">
      <c r="B3" s="85" t="s">
        <v>145</v>
      </c>
      <c r="C3" s="86" t="s">
        <v>98</v>
      </c>
      <c r="D3" s="86" t="s">
        <v>102</v>
      </c>
      <c r="E3" s="86" t="s">
        <v>113</v>
      </c>
      <c r="F3" s="86" t="s">
        <v>114</v>
      </c>
      <c r="G3" s="87" t="s">
        <v>144</v>
      </c>
    </row>
    <row r="4" spans="2:7" ht="68.5" thickTop="1" thickBot="1" x14ac:dyDescent="0.45">
      <c r="B4" s="88" t="s">
        <v>125</v>
      </c>
      <c r="C4" s="86" t="s">
        <v>98</v>
      </c>
      <c r="D4" s="86" t="s">
        <v>102</v>
      </c>
      <c r="E4" s="86" t="s">
        <v>113</v>
      </c>
      <c r="F4" s="86" t="s">
        <v>114</v>
      </c>
      <c r="G4" s="87" t="s">
        <v>144</v>
      </c>
    </row>
    <row r="5" spans="2:7" ht="47.5" thickTop="1" x14ac:dyDescent="0.4">
      <c r="B5" s="91" t="s">
        <v>173</v>
      </c>
      <c r="C5" s="92">
        <f>MAX(C6:C13)</f>
        <v>32</v>
      </c>
      <c r="D5" s="92">
        <f t="shared" ref="D5:G5" si="0">MAX(D6:D13)</f>
        <v>10</v>
      </c>
      <c r="E5" s="93">
        <f t="shared" si="0"/>
        <v>1</v>
      </c>
      <c r="F5" s="93">
        <f>1-E5</f>
        <v>0</v>
      </c>
      <c r="G5" s="94">
        <f t="shared" si="0"/>
        <v>33</v>
      </c>
    </row>
    <row r="6" spans="2:7" ht="23.5" hidden="1" x14ac:dyDescent="0.4">
      <c r="B6" s="91" t="s">
        <v>127</v>
      </c>
      <c r="C6" s="92"/>
      <c r="D6" s="92"/>
      <c r="E6" s="93"/>
      <c r="F6" s="93"/>
      <c r="G6" s="94"/>
    </row>
    <row r="7" spans="2:7" ht="23.5" hidden="1" x14ac:dyDescent="0.4">
      <c r="B7" s="95" t="s">
        <v>67</v>
      </c>
      <c r="C7" s="92">
        <f>'Governace capacity'!G4</f>
        <v>31</v>
      </c>
      <c r="D7" s="92">
        <f>'Governace capacity'!H4</f>
        <v>1</v>
      </c>
      <c r="E7" s="96">
        <f>'Governace capacity'!I4</f>
        <v>0.96875</v>
      </c>
      <c r="F7" s="96">
        <f>'Governace capacity'!J4</f>
        <v>3.125E-2</v>
      </c>
      <c r="G7" s="94">
        <f>'Governace capacity'!K4</f>
        <v>32</v>
      </c>
    </row>
    <row r="8" spans="2:7" ht="23.5" hidden="1" x14ac:dyDescent="0.4">
      <c r="B8" s="95" t="s">
        <v>68</v>
      </c>
      <c r="C8" s="92">
        <f>'Governace capacity'!G5</f>
        <v>32</v>
      </c>
      <c r="D8" s="92">
        <f>'Governace capacity'!H5</f>
        <v>0</v>
      </c>
      <c r="E8" s="96">
        <f>'Governace capacity'!I5</f>
        <v>1</v>
      </c>
      <c r="F8" s="96">
        <f>'Governace capacity'!J5</f>
        <v>0</v>
      </c>
      <c r="G8" s="94">
        <f>'Governace capacity'!K5</f>
        <v>32</v>
      </c>
    </row>
    <row r="9" spans="2:7" ht="23.5" hidden="1" x14ac:dyDescent="0.4">
      <c r="B9" s="95" t="s">
        <v>69</v>
      </c>
      <c r="C9" s="92">
        <f>'Governace capacity'!G6</f>
        <v>29</v>
      </c>
      <c r="D9" s="92">
        <f>'Governace capacity'!H6</f>
        <v>4</v>
      </c>
      <c r="E9" s="96">
        <f>'Governace capacity'!I6</f>
        <v>0.87878787878787878</v>
      </c>
      <c r="F9" s="96">
        <f>'Governace capacity'!J6</f>
        <v>0.12121212121212122</v>
      </c>
      <c r="G9" s="94">
        <f>'Governace capacity'!K6</f>
        <v>33</v>
      </c>
    </row>
    <row r="10" spans="2:7" ht="23.5" hidden="1" x14ac:dyDescent="0.4">
      <c r="B10" s="95" t="s">
        <v>70</v>
      </c>
      <c r="C10" s="92">
        <f>'Governace capacity'!G7</f>
        <v>31</v>
      </c>
      <c r="D10" s="92">
        <f>'Governace capacity'!H7</f>
        <v>1</v>
      </c>
      <c r="E10" s="96">
        <f>'Governace capacity'!I7</f>
        <v>0.96875</v>
      </c>
      <c r="F10" s="96">
        <f>'Governace capacity'!J7</f>
        <v>3.125E-2</v>
      </c>
      <c r="G10" s="94">
        <f>'Governace capacity'!K7</f>
        <v>32</v>
      </c>
    </row>
    <row r="11" spans="2:7" ht="23.5" hidden="1" x14ac:dyDescent="0.4">
      <c r="B11" s="95" t="s">
        <v>71</v>
      </c>
      <c r="C11" s="92">
        <f>'Governace capacity'!G8</f>
        <v>28</v>
      </c>
      <c r="D11" s="92">
        <f>'Governace capacity'!H8</f>
        <v>4</v>
      </c>
      <c r="E11" s="96">
        <f>'Governace capacity'!I8</f>
        <v>0.875</v>
      </c>
      <c r="F11" s="96">
        <f>'Governace capacity'!J8</f>
        <v>0.125</v>
      </c>
      <c r="G11" s="94">
        <f>'Governace capacity'!K8</f>
        <v>32</v>
      </c>
    </row>
    <row r="12" spans="2:7" ht="23.5" hidden="1" x14ac:dyDescent="0.4">
      <c r="B12" s="95" t="s">
        <v>72</v>
      </c>
      <c r="C12" s="92">
        <f>'Governace capacity'!G9</f>
        <v>21</v>
      </c>
      <c r="D12" s="92">
        <f>'Governace capacity'!H9</f>
        <v>10</v>
      </c>
      <c r="E12" s="96">
        <f>'Governace capacity'!I9</f>
        <v>0.67741935483870963</v>
      </c>
      <c r="F12" s="96">
        <f>'Governace capacity'!J9</f>
        <v>0.32258064516129031</v>
      </c>
      <c r="G12" s="94">
        <f>'Governace capacity'!K9</f>
        <v>31</v>
      </c>
    </row>
    <row r="13" spans="2:7" ht="23.5" hidden="1" x14ac:dyDescent="0.4">
      <c r="B13" s="95" t="s">
        <v>73</v>
      </c>
      <c r="C13" s="92">
        <f>'Governace capacity'!G10</f>
        <v>22</v>
      </c>
      <c r="D13" s="92">
        <f>'Governace capacity'!H10</f>
        <v>7</v>
      </c>
      <c r="E13" s="96">
        <f>'Governace capacity'!I10</f>
        <v>0.75862068965517238</v>
      </c>
      <c r="F13" s="96">
        <f>'Governace capacity'!J10</f>
        <v>0.2413793103448276</v>
      </c>
      <c r="G13" s="94">
        <f>'Governace capacity'!K10</f>
        <v>29</v>
      </c>
    </row>
    <row r="14" spans="2:7" ht="23.5" x14ac:dyDescent="0.4">
      <c r="B14" s="91" t="s">
        <v>174</v>
      </c>
      <c r="C14" s="92">
        <f>'Governace capacity'!G11</f>
        <v>31</v>
      </c>
      <c r="D14" s="92">
        <f>'Governace capacity'!H11</f>
        <v>1</v>
      </c>
      <c r="E14" s="93">
        <f>'Governace capacity'!I11</f>
        <v>0.96875</v>
      </c>
      <c r="F14" s="93">
        <f>'Governace capacity'!J11</f>
        <v>3.125E-2</v>
      </c>
      <c r="G14" s="94">
        <f>'Governace capacity'!K11</f>
        <v>32</v>
      </c>
    </row>
    <row r="15" spans="2:7" ht="23.5" x14ac:dyDescent="0.4">
      <c r="B15" s="91" t="s">
        <v>175</v>
      </c>
      <c r="C15" s="92">
        <f>'Governace capacity'!G12</f>
        <v>24</v>
      </c>
      <c r="D15" s="92">
        <f>'Governace capacity'!H12</f>
        <v>7</v>
      </c>
      <c r="E15" s="93">
        <f>'Governace capacity'!I12</f>
        <v>0.77419354838709675</v>
      </c>
      <c r="F15" s="93">
        <f>'Governace capacity'!J12</f>
        <v>0.22580645161290322</v>
      </c>
      <c r="G15" s="94">
        <f>'Governace capacity'!K12</f>
        <v>31</v>
      </c>
    </row>
    <row r="16" spans="2:7" ht="23.5" hidden="1" x14ac:dyDescent="0.4">
      <c r="B16" s="91" t="s">
        <v>155</v>
      </c>
      <c r="C16" s="92">
        <f>'Governace capacity'!G13</f>
        <v>20</v>
      </c>
      <c r="D16" s="92">
        <f>'Governace capacity'!H13</f>
        <v>12</v>
      </c>
      <c r="E16" s="93">
        <f>'Governace capacity'!I13</f>
        <v>0.625</v>
      </c>
      <c r="F16" s="93">
        <f>'Governace capacity'!J13</f>
        <v>0.375</v>
      </c>
      <c r="G16" s="94">
        <f>'Governace capacity'!K13</f>
        <v>32</v>
      </c>
    </row>
    <row r="17" spans="2:7" ht="23.5" hidden="1" x14ac:dyDescent="0.4">
      <c r="B17" s="91" t="s">
        <v>156</v>
      </c>
      <c r="C17" s="92">
        <f>'Governace capacity'!G14</f>
        <v>14</v>
      </c>
      <c r="D17" s="92">
        <f>'Governace capacity'!H14</f>
        <v>13</v>
      </c>
      <c r="E17" s="93">
        <f>'Governace capacity'!I14</f>
        <v>0.51851851851851849</v>
      </c>
      <c r="F17" s="93">
        <f>'Governace capacity'!J14</f>
        <v>0.48148148148148145</v>
      </c>
      <c r="G17" s="94">
        <f>'Governace capacity'!K14</f>
        <v>27</v>
      </c>
    </row>
    <row r="18" spans="2:7" ht="68" thickBot="1" x14ac:dyDescent="0.45">
      <c r="B18" s="97" t="s">
        <v>122</v>
      </c>
      <c r="C18" s="86" t="s">
        <v>98</v>
      </c>
      <c r="D18" s="86" t="s">
        <v>102</v>
      </c>
      <c r="E18" s="86" t="s">
        <v>113</v>
      </c>
      <c r="F18" s="86" t="s">
        <v>114</v>
      </c>
      <c r="G18" s="87" t="s">
        <v>144</v>
      </c>
    </row>
    <row r="19" spans="2:7" ht="46.5" thickTop="1" x14ac:dyDescent="0.4">
      <c r="B19" s="99" t="s">
        <v>158</v>
      </c>
      <c r="C19" s="92">
        <f>'Existence of HRH Unit'!H3</f>
        <v>22</v>
      </c>
      <c r="D19" s="92">
        <f>'Existence of HRH Unit'!I3</f>
        <v>7</v>
      </c>
      <c r="E19" s="93">
        <f>'Existence of HRH Unit'!J3</f>
        <v>0.75862068965517238</v>
      </c>
      <c r="F19" s="93">
        <f>'Existence of HRH Unit'!K3</f>
        <v>0.2413793103448276</v>
      </c>
      <c r="G19" s="94">
        <f>'Existence of HRH Unit'!L3</f>
        <v>29</v>
      </c>
    </row>
    <row r="20" spans="2:7" ht="23" x14ac:dyDescent="0.4">
      <c r="B20" s="99" t="s">
        <v>159</v>
      </c>
      <c r="C20" s="92">
        <f>'Existence of HRH Unit'!H4</f>
        <v>24</v>
      </c>
      <c r="D20" s="92">
        <f>'Existence of HRH Unit'!I4</f>
        <v>5</v>
      </c>
      <c r="E20" s="93">
        <f>'Existence of HRH Unit'!J4</f>
        <v>0.82758620689655171</v>
      </c>
      <c r="F20" s="93">
        <f>'Existence of HRH Unit'!K4</f>
        <v>0.17241379310344829</v>
      </c>
      <c r="G20" s="94">
        <f>'Existence of HRH Unit'!L4</f>
        <v>29</v>
      </c>
    </row>
    <row r="21" spans="2:7" ht="46" x14ac:dyDescent="0.4">
      <c r="B21" s="99" t="s">
        <v>160</v>
      </c>
      <c r="C21" s="92">
        <f>'Existence of HRH Unit'!H5</f>
        <v>22</v>
      </c>
      <c r="D21" s="92">
        <f>'Existence of HRH Unit'!I5</f>
        <v>7</v>
      </c>
      <c r="E21" s="93">
        <f>'Existence of HRH Unit'!J5</f>
        <v>0.75862068965517238</v>
      </c>
      <c r="F21" s="93">
        <f>'Existence of HRH Unit'!K5</f>
        <v>0.2413793103448276</v>
      </c>
      <c r="G21" s="94">
        <f>'Existence of HRH Unit'!L5</f>
        <v>29</v>
      </c>
    </row>
    <row r="22" spans="2:7" ht="46.5" thickBot="1" x14ac:dyDescent="0.45">
      <c r="B22" s="100" t="s">
        <v>161</v>
      </c>
      <c r="C22" s="101">
        <f>'Existence of HRH Unit'!H6</f>
        <v>18</v>
      </c>
      <c r="D22" s="101">
        <f>'Existence of HRH Unit'!I6</f>
        <v>11</v>
      </c>
      <c r="E22" s="102">
        <f>'Existence of HRH Unit'!J6</f>
        <v>0.62068965517241381</v>
      </c>
      <c r="F22" s="102">
        <f>'Existence of HRH Unit'!K6</f>
        <v>0.37931034482758619</v>
      </c>
      <c r="G22" s="103">
        <f>'Existence of HRH Unit'!L6</f>
        <v>29</v>
      </c>
    </row>
    <row r="23" spans="2:7" ht="68.5" thickTop="1" thickBot="1" x14ac:dyDescent="0.45">
      <c r="B23" s="97" t="s">
        <v>123</v>
      </c>
      <c r="C23" s="86" t="s">
        <v>98</v>
      </c>
      <c r="D23" s="86" t="s">
        <v>102</v>
      </c>
      <c r="E23" s="86" t="s">
        <v>113</v>
      </c>
      <c r="F23" s="86" t="s">
        <v>114</v>
      </c>
      <c r="G23" s="87" t="s">
        <v>144</v>
      </c>
    </row>
    <row r="24" spans="2:7" ht="23.5" thickTop="1" x14ac:dyDescent="0.5">
      <c r="B24" s="104" t="s">
        <v>177</v>
      </c>
      <c r="C24" s="105">
        <f>'Working Conditions'!K4</f>
        <v>28</v>
      </c>
      <c r="D24" s="105">
        <f>'Working Conditions'!L4</f>
        <v>1</v>
      </c>
      <c r="E24" s="106">
        <f>'Working Conditions'!M4</f>
        <v>0.96551724137931039</v>
      </c>
      <c r="F24" s="106">
        <f>'Working Conditions'!N4</f>
        <v>3.4482758620689655E-2</v>
      </c>
      <c r="G24" s="107">
        <f>'Working Conditions'!O4</f>
        <v>29</v>
      </c>
    </row>
    <row r="25" spans="2:7" ht="23" x14ac:dyDescent="0.5">
      <c r="B25" s="104" t="s">
        <v>178</v>
      </c>
      <c r="C25" s="105">
        <f>'Working Conditions'!K5</f>
        <v>25</v>
      </c>
      <c r="D25" s="105">
        <f>'Working Conditions'!L5</f>
        <v>4</v>
      </c>
      <c r="E25" s="106">
        <f>'Working Conditions'!M5</f>
        <v>0.86206896551724133</v>
      </c>
      <c r="F25" s="106">
        <f>'Working Conditions'!N5</f>
        <v>0.13793103448275862</v>
      </c>
      <c r="G25" s="107">
        <f>'Working Conditions'!O5</f>
        <v>29</v>
      </c>
    </row>
    <row r="26" spans="2:7" ht="23" x14ac:dyDescent="0.5">
      <c r="B26" s="104" t="s">
        <v>179</v>
      </c>
      <c r="C26" s="105">
        <f>'Working Conditions'!K6</f>
        <v>15</v>
      </c>
      <c r="D26" s="105">
        <f>'Working Conditions'!L6</f>
        <v>13</v>
      </c>
      <c r="E26" s="106">
        <f>'Working Conditions'!M6</f>
        <v>0.5357142857142857</v>
      </c>
      <c r="F26" s="106">
        <f>'Working Conditions'!N6</f>
        <v>0.4642857142857143</v>
      </c>
      <c r="G26" s="107">
        <f>'Working Conditions'!O6</f>
        <v>28</v>
      </c>
    </row>
    <row r="27" spans="2:7" ht="23.5" thickBot="1" x14ac:dyDescent="0.55000000000000004">
      <c r="B27" s="108" t="s">
        <v>180</v>
      </c>
      <c r="C27" s="109">
        <f>'Working Conditions'!K7</f>
        <v>18</v>
      </c>
      <c r="D27" s="109">
        <f>'Working Conditions'!L7</f>
        <v>10</v>
      </c>
      <c r="E27" s="110">
        <f>'Working Conditions'!M7</f>
        <v>0.6428571428571429</v>
      </c>
      <c r="F27" s="110">
        <f>'Working Conditions'!N7</f>
        <v>0.35714285714285715</v>
      </c>
      <c r="G27" s="111">
        <f>'Working Conditions'!O7</f>
        <v>28</v>
      </c>
    </row>
    <row r="28" spans="2:7" ht="68.5" thickTop="1" thickBot="1" x14ac:dyDescent="0.45">
      <c r="B28" s="97" t="s">
        <v>124</v>
      </c>
      <c r="C28" s="86" t="s">
        <v>98</v>
      </c>
      <c r="D28" s="86" t="s">
        <v>102</v>
      </c>
      <c r="E28" s="86" t="s">
        <v>113</v>
      </c>
      <c r="F28" s="86" t="s">
        <v>114</v>
      </c>
      <c r="G28" s="87" t="s">
        <v>144</v>
      </c>
    </row>
    <row r="29" spans="2:7" ht="24" thickTop="1" x14ac:dyDescent="0.4">
      <c r="B29" s="1" t="s">
        <v>162</v>
      </c>
      <c r="C29" s="112">
        <f>'HRH Policy and Planning'!H3</f>
        <v>24</v>
      </c>
      <c r="D29" s="112">
        <f>'HRH Policy and Planning'!I3</f>
        <v>6</v>
      </c>
      <c r="E29" s="113">
        <f>'HRH Policy and Planning'!J3</f>
        <v>0.8</v>
      </c>
      <c r="F29" s="113">
        <f>'HRH Policy and Planning'!K3</f>
        <v>0.2</v>
      </c>
      <c r="G29" s="114">
        <f>'HRH Policy and Planning'!L3</f>
        <v>30</v>
      </c>
    </row>
    <row r="30" spans="2:7" ht="23.5" x14ac:dyDescent="0.4">
      <c r="B30" s="1" t="s">
        <v>163</v>
      </c>
      <c r="C30" s="92">
        <f>'HRH Policy and Planning'!H4</f>
        <v>22</v>
      </c>
      <c r="D30" s="92">
        <f>'HRH Policy and Planning'!I4</f>
        <v>13</v>
      </c>
      <c r="E30" s="93">
        <f>'HRH Policy and Planning'!J4</f>
        <v>0.62857142857142856</v>
      </c>
      <c r="F30" s="93">
        <f>'HRH Policy and Planning'!K4</f>
        <v>0.37142857142857144</v>
      </c>
      <c r="G30" s="94">
        <f>'HRH Policy and Planning'!L4</f>
        <v>35</v>
      </c>
    </row>
    <row r="31" spans="2:7" s="82" customFormat="1" ht="23.5" hidden="1" x14ac:dyDescent="0.4">
      <c r="B31" s="115" t="s">
        <v>4</v>
      </c>
      <c r="C31" s="116">
        <f>'HRH Policy and Planning'!H5</f>
        <v>6.416666666666667</v>
      </c>
      <c r="D31" s="117">
        <f>'HRH Policy and Planning'!I5</f>
        <v>0</v>
      </c>
      <c r="E31" s="118">
        <f>'HRH Policy and Planning'!J5</f>
        <v>0</v>
      </c>
      <c r="F31" s="118">
        <f>'HRH Policy and Planning'!K5</f>
        <v>0</v>
      </c>
      <c r="G31" s="119">
        <f>'HRH Policy and Planning'!L5</f>
        <v>0</v>
      </c>
    </row>
    <row r="32" spans="2:7" s="82" customFormat="1" ht="23.5" hidden="1" x14ac:dyDescent="0.4">
      <c r="B32" s="115" t="s">
        <v>147</v>
      </c>
      <c r="C32" s="117">
        <f>'HRH Policy and Planning'!H6</f>
        <v>20</v>
      </c>
      <c r="D32" s="117">
        <f>'HRH Policy and Planning'!I6</f>
        <v>5</v>
      </c>
      <c r="E32" s="118">
        <f>'HRH Policy and Planning'!J6</f>
        <v>0.8</v>
      </c>
      <c r="F32" s="118">
        <f>'HRH Policy and Planning'!K6</f>
        <v>0.2</v>
      </c>
      <c r="G32" s="119">
        <f>'HRH Policy and Planning'!L6</f>
        <v>25</v>
      </c>
    </row>
    <row r="33" spans="2:7" s="82" customFormat="1" ht="23.5" hidden="1" x14ac:dyDescent="0.4">
      <c r="B33" s="115" t="s">
        <v>148</v>
      </c>
      <c r="C33" s="117">
        <f>'HRH Policy and Planning'!H7</f>
        <v>23</v>
      </c>
      <c r="D33" s="117">
        <f>'HRH Policy and Planning'!I7</f>
        <v>2</v>
      </c>
      <c r="E33" s="118">
        <f>'HRH Policy and Planning'!J7</f>
        <v>0.92</v>
      </c>
      <c r="F33" s="118">
        <f>'HRH Policy and Planning'!K7</f>
        <v>0.08</v>
      </c>
      <c r="G33" s="119">
        <f>'HRH Policy and Planning'!L7</f>
        <v>25</v>
      </c>
    </row>
    <row r="34" spans="2:7" s="82" customFormat="1" ht="23.5" hidden="1" x14ac:dyDescent="0.4">
      <c r="B34" s="115" t="s">
        <v>149</v>
      </c>
      <c r="C34" s="117">
        <f>'HRH Policy and Planning'!H8</f>
        <v>4</v>
      </c>
      <c r="D34" s="117">
        <f>'HRH Policy and Planning'!I8</f>
        <v>20</v>
      </c>
      <c r="E34" s="118">
        <f>'HRH Policy and Planning'!J8</f>
        <v>0.16666666666666666</v>
      </c>
      <c r="F34" s="118">
        <f>'HRH Policy and Planning'!K8</f>
        <v>0.83333333333333337</v>
      </c>
      <c r="G34" s="119">
        <f>'HRH Policy and Planning'!L8</f>
        <v>24</v>
      </c>
    </row>
    <row r="35" spans="2:7" s="82" customFormat="1" ht="68" hidden="1" thickBot="1" x14ac:dyDescent="0.45">
      <c r="B35" s="120" t="s">
        <v>142</v>
      </c>
      <c r="C35" s="86" t="s">
        <v>98</v>
      </c>
      <c r="D35" s="86" t="s">
        <v>102</v>
      </c>
      <c r="E35" s="86" t="s">
        <v>113</v>
      </c>
      <c r="F35" s="86" t="s">
        <v>114</v>
      </c>
      <c r="G35" s="87" t="s">
        <v>144</v>
      </c>
    </row>
    <row r="36" spans="2:7" s="82" customFormat="1" ht="24" hidden="1" thickTop="1" x14ac:dyDescent="0.4">
      <c r="B36" s="115" t="s">
        <v>150</v>
      </c>
      <c r="C36" s="117">
        <f>'HRH Policy and Planning'!H10</f>
        <v>21</v>
      </c>
      <c r="D36" s="117">
        <f>'HRH Policy and Planning'!I10</f>
        <v>3</v>
      </c>
      <c r="E36" s="118">
        <f>'HRH Policy and Planning'!J10</f>
        <v>0.875</v>
      </c>
      <c r="F36" s="118">
        <f>'HRH Policy and Planning'!K10</f>
        <v>0.125</v>
      </c>
      <c r="G36" s="119">
        <f>'HRH Policy and Planning'!L10</f>
        <v>24</v>
      </c>
    </row>
    <row r="37" spans="2:7" s="82" customFormat="1" ht="23.5" hidden="1" x14ac:dyDescent="0.4">
      <c r="B37" s="115" t="s">
        <v>151</v>
      </c>
      <c r="C37" s="117">
        <f>'HRH Policy and Planning'!H11</f>
        <v>21</v>
      </c>
      <c r="D37" s="117">
        <f>'HRH Policy and Planning'!I11</f>
        <v>3</v>
      </c>
      <c r="E37" s="118">
        <f>'HRH Policy and Planning'!J11</f>
        <v>0.875</v>
      </c>
      <c r="F37" s="118">
        <f>'HRH Policy and Planning'!K11</f>
        <v>0.125</v>
      </c>
      <c r="G37" s="119">
        <f>'HRH Policy and Planning'!L11</f>
        <v>24</v>
      </c>
    </row>
    <row r="38" spans="2:7" s="82" customFormat="1" ht="23.5" hidden="1" x14ac:dyDescent="0.4">
      <c r="B38" s="115" t="s">
        <v>152</v>
      </c>
      <c r="C38" s="117">
        <f>'HRH Policy and Planning'!H12</f>
        <v>19</v>
      </c>
      <c r="D38" s="117">
        <f>'HRH Policy and Planning'!I12</f>
        <v>5</v>
      </c>
      <c r="E38" s="118">
        <f>'HRH Policy and Planning'!J12</f>
        <v>0.79166666666666663</v>
      </c>
      <c r="F38" s="118">
        <f>'HRH Policy and Planning'!K12</f>
        <v>0.20833333333333334</v>
      </c>
      <c r="G38" s="119">
        <f>'HRH Policy and Planning'!L12</f>
        <v>24</v>
      </c>
    </row>
    <row r="39" spans="2:7" s="82" customFormat="1" ht="23.5" hidden="1" x14ac:dyDescent="0.4">
      <c r="B39" s="115" t="s">
        <v>153</v>
      </c>
      <c r="C39" s="117">
        <f>'HRH Policy and Planning'!H13</f>
        <v>19</v>
      </c>
      <c r="D39" s="117">
        <f>'HRH Policy and Planning'!I13</f>
        <v>5</v>
      </c>
      <c r="E39" s="118">
        <f>'HRH Policy and Planning'!J13</f>
        <v>0.79166666666666663</v>
      </c>
      <c r="F39" s="118">
        <f>'HRH Policy and Planning'!K13</f>
        <v>0.20833333333333334</v>
      </c>
      <c r="G39" s="119">
        <f>'HRH Policy and Planning'!L13</f>
        <v>24</v>
      </c>
    </row>
    <row r="40" spans="2:7" s="82" customFormat="1" ht="23.5" hidden="1" x14ac:dyDescent="0.4">
      <c r="B40" s="115" t="s">
        <v>154</v>
      </c>
      <c r="C40" s="117">
        <f>'HRH Policy and Planning'!H14</f>
        <v>7</v>
      </c>
      <c r="D40" s="117">
        <f>'HRH Policy and Planning'!I14</f>
        <v>16</v>
      </c>
      <c r="E40" s="118">
        <f>'HRH Policy and Planning'!J14</f>
        <v>0.30434782608695654</v>
      </c>
      <c r="F40" s="118">
        <f>'HRH Policy and Planning'!K14</f>
        <v>0.69565217391304346</v>
      </c>
      <c r="G40" s="119">
        <f>'HRH Policy and Planning'!L14</f>
        <v>23</v>
      </c>
    </row>
    <row r="41" spans="2:7" ht="24" thickBot="1" x14ac:dyDescent="0.45">
      <c r="B41" s="75" t="s">
        <v>164</v>
      </c>
      <c r="C41" s="101">
        <f>'HRH Policy and Planning'!H15</f>
        <v>13</v>
      </c>
      <c r="D41" s="101">
        <f>'HRH Policy and Planning'!I15</f>
        <v>13</v>
      </c>
      <c r="E41" s="102">
        <f>'HRH Policy and Planning'!J15</f>
        <v>0.5</v>
      </c>
      <c r="F41" s="102">
        <f>'HRH Policy and Planning'!K15</f>
        <v>0.5</v>
      </c>
      <c r="G41" s="103">
        <f>'HRH Policy and Planning'!L15</f>
        <v>26</v>
      </c>
    </row>
    <row r="42" spans="2:7" ht="16.5" thickTop="1" x14ac:dyDescent="0.4"/>
    <row r="53" spans="2:7" ht="68" thickBot="1" x14ac:dyDescent="0.45">
      <c r="B53" s="97" t="s">
        <v>124</v>
      </c>
      <c r="C53" s="86" t="s">
        <v>98</v>
      </c>
      <c r="D53" s="86" t="s">
        <v>102</v>
      </c>
      <c r="E53" s="86" t="s">
        <v>113</v>
      </c>
      <c r="F53" s="86" t="s">
        <v>114</v>
      </c>
      <c r="G53" s="87" t="s">
        <v>144</v>
      </c>
    </row>
    <row r="54" spans="2:7" ht="24" thickTop="1" x14ac:dyDescent="0.4">
      <c r="B54" s="115" t="s">
        <v>165</v>
      </c>
      <c r="C54" s="117">
        <v>20</v>
      </c>
      <c r="D54" s="117">
        <v>5</v>
      </c>
      <c r="E54" s="118">
        <v>0.8</v>
      </c>
      <c r="F54" s="118">
        <v>0.2</v>
      </c>
      <c r="G54" s="119">
        <v>25</v>
      </c>
    </row>
    <row r="55" spans="2:7" ht="23.5" x14ac:dyDescent="0.4">
      <c r="B55" s="115" t="s">
        <v>166</v>
      </c>
      <c r="C55" s="117">
        <v>23</v>
      </c>
      <c r="D55" s="117">
        <v>2</v>
      </c>
      <c r="E55" s="118">
        <v>0.92</v>
      </c>
      <c r="F55" s="118">
        <v>0.08</v>
      </c>
      <c r="G55" s="119">
        <v>25</v>
      </c>
    </row>
    <row r="56" spans="2:7" ht="23.5" x14ac:dyDescent="0.4">
      <c r="B56" s="115" t="s">
        <v>167</v>
      </c>
      <c r="C56" s="117">
        <v>4</v>
      </c>
      <c r="D56" s="117">
        <v>20</v>
      </c>
      <c r="E56" s="118">
        <v>0.16666666666666666</v>
      </c>
      <c r="F56" s="118">
        <v>0.83333333333333337</v>
      </c>
      <c r="G56" s="119">
        <v>24</v>
      </c>
    </row>
    <row r="57" spans="2:7" ht="23.5" x14ac:dyDescent="0.4">
      <c r="B57" s="115" t="s">
        <v>176</v>
      </c>
      <c r="C57" s="84">
        <f>'Governace capacity'!G14</f>
        <v>14</v>
      </c>
      <c r="D57" s="84">
        <f>'Governace capacity'!H14</f>
        <v>13</v>
      </c>
      <c r="E57" s="118">
        <f>'Governace capacity'!I14</f>
        <v>0.51851851851851849</v>
      </c>
      <c r="F57" s="118">
        <f>'Governace capacity'!J14</f>
        <v>0.48148148148148145</v>
      </c>
      <c r="G57" s="119">
        <f>'Governace capacity'!K14</f>
        <v>27</v>
      </c>
    </row>
    <row r="95" spans="2:7" ht="24" thickBot="1" x14ac:dyDescent="0.45">
      <c r="B95" s="120" t="s">
        <v>120</v>
      </c>
      <c r="C95" s="86" t="s">
        <v>98</v>
      </c>
      <c r="D95" s="86" t="s">
        <v>102</v>
      </c>
      <c r="E95" s="86" t="s">
        <v>113</v>
      </c>
      <c r="F95" s="86" t="s">
        <v>114</v>
      </c>
      <c r="G95" s="83" t="s">
        <v>157</v>
      </c>
    </row>
    <row r="96" spans="2:7" ht="24" thickTop="1" x14ac:dyDescent="0.4">
      <c r="B96" s="115" t="s">
        <v>168</v>
      </c>
      <c r="C96" s="117">
        <v>21</v>
      </c>
      <c r="D96" s="117">
        <v>3</v>
      </c>
      <c r="E96" s="118">
        <v>0.875</v>
      </c>
      <c r="F96" s="118">
        <v>0.125</v>
      </c>
      <c r="G96" s="83">
        <v>24</v>
      </c>
    </row>
    <row r="97" spans="2:7" ht="23.5" x14ac:dyDescent="0.4">
      <c r="B97" s="115" t="s">
        <v>169</v>
      </c>
      <c r="C97" s="117">
        <v>21</v>
      </c>
      <c r="D97" s="117">
        <v>3</v>
      </c>
      <c r="E97" s="118">
        <v>0.875</v>
      </c>
      <c r="F97" s="118">
        <v>0.125</v>
      </c>
      <c r="G97" s="83">
        <v>24</v>
      </c>
    </row>
    <row r="98" spans="2:7" ht="23.5" x14ac:dyDescent="0.4">
      <c r="B98" s="115" t="s">
        <v>170</v>
      </c>
      <c r="C98" s="117">
        <v>19</v>
      </c>
      <c r="D98" s="117">
        <v>5</v>
      </c>
      <c r="E98" s="118">
        <v>0.79166666666666663</v>
      </c>
      <c r="F98" s="118">
        <v>0.20833333333333334</v>
      </c>
      <c r="G98" s="83">
        <v>24</v>
      </c>
    </row>
    <row r="99" spans="2:7" ht="23.5" x14ac:dyDescent="0.4">
      <c r="B99" s="115" t="s">
        <v>171</v>
      </c>
      <c r="C99" s="117">
        <v>19</v>
      </c>
      <c r="D99" s="117">
        <v>5</v>
      </c>
      <c r="E99" s="118">
        <v>0.79166666666666663</v>
      </c>
      <c r="F99" s="118">
        <v>0.20833333333333334</v>
      </c>
      <c r="G99" s="83">
        <v>24</v>
      </c>
    </row>
    <row r="100" spans="2:7" ht="23.5" x14ac:dyDescent="0.4">
      <c r="B100" s="115" t="s">
        <v>172</v>
      </c>
      <c r="C100" s="117">
        <v>7</v>
      </c>
      <c r="D100" s="117">
        <v>16</v>
      </c>
      <c r="E100" s="118">
        <v>0.30434782608695654</v>
      </c>
      <c r="F100" s="118">
        <v>0.69565217391304346</v>
      </c>
      <c r="G100" s="83">
        <v>24</v>
      </c>
    </row>
    <row r="186" spans="7:9" ht="33" customHeight="1" x14ac:dyDescent="0.4"/>
    <row r="187" spans="7:9" ht="33" customHeight="1" x14ac:dyDescent="0.4">
      <c r="G187" t="s">
        <v>181</v>
      </c>
      <c r="H187" t="s">
        <v>185</v>
      </c>
      <c r="I187" t="s">
        <v>186</v>
      </c>
    </row>
    <row r="188" spans="7:9" ht="33" customHeight="1" x14ac:dyDescent="0.4">
      <c r="G188" t="s">
        <v>182</v>
      </c>
      <c r="H188">
        <v>12</v>
      </c>
      <c r="I188" s="32">
        <f>H188/$H$191</f>
        <v>0.46153846153846156</v>
      </c>
    </row>
    <row r="189" spans="7:9" ht="33" customHeight="1" x14ac:dyDescent="0.4">
      <c r="G189" t="s">
        <v>183</v>
      </c>
      <c r="H189">
        <v>8</v>
      </c>
      <c r="I189" s="32">
        <f t="shared" ref="I189:I190" si="1">H189/$H$191</f>
        <v>0.30769230769230771</v>
      </c>
    </row>
    <row r="190" spans="7:9" ht="33" customHeight="1" x14ac:dyDescent="0.4">
      <c r="G190" t="s">
        <v>184</v>
      </c>
      <c r="H190">
        <v>6</v>
      </c>
      <c r="I190" s="32">
        <f t="shared" si="1"/>
        <v>0.23076923076923078</v>
      </c>
    </row>
    <row r="191" spans="7:9" ht="33" customHeight="1" x14ac:dyDescent="0.4">
      <c r="H191">
        <f>SUM(H188:H190)</f>
        <v>26</v>
      </c>
    </row>
    <row r="192" spans="7:9" ht="33" customHeight="1" x14ac:dyDescent="0.4"/>
    <row r="193" spans="7:9" ht="33" customHeight="1" x14ac:dyDescent="0.4"/>
    <row r="197" spans="7:9" x14ac:dyDescent="0.4">
      <c r="G197" s="83" t="s">
        <v>187</v>
      </c>
      <c r="H197" t="s">
        <v>185</v>
      </c>
      <c r="I197" t="s">
        <v>186</v>
      </c>
    </row>
    <row r="198" spans="7:9" x14ac:dyDescent="0.4">
      <c r="G198" s="83" t="s">
        <v>89</v>
      </c>
      <c r="H198">
        <v>12</v>
      </c>
      <c r="I198" s="32">
        <f>H198/SUM($H$198:$H$200)</f>
        <v>0.46153846153846156</v>
      </c>
    </row>
    <row r="199" spans="7:9" x14ac:dyDescent="0.4">
      <c r="G199" s="83" t="s">
        <v>188</v>
      </c>
      <c r="H199">
        <v>10</v>
      </c>
      <c r="I199" s="32">
        <f>H199/SUM($H$198:$H$200)</f>
        <v>0.38461538461538464</v>
      </c>
    </row>
    <row r="200" spans="7:9" x14ac:dyDescent="0.4">
      <c r="G200" s="83" t="s">
        <v>92</v>
      </c>
      <c r="H200">
        <v>4</v>
      </c>
      <c r="I200" s="32">
        <f>H200/SUM($H$198:$H$200)</f>
        <v>0.15384615384615385</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HRH Policy and Planning</vt:lpstr>
      <vt:lpstr>Working Conditions</vt:lpstr>
      <vt:lpstr>Existence of HRH Unit</vt:lpstr>
      <vt:lpstr>Governace capacity</vt:lpstr>
      <vt:lpstr>Strikes</vt:lpstr>
      <vt:lpstr>Summary Table_Pulled Together</vt:lpstr>
      <vt:lpstr>Graphs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James Avoka Asamani</dc:creator>
  <cp:lastModifiedBy>Joseph Mung'atu</cp:lastModifiedBy>
  <dcterms:created xsi:type="dcterms:W3CDTF">2024-04-07T13:08:36Z</dcterms:created>
  <dcterms:modified xsi:type="dcterms:W3CDTF">2024-04-09T05:44:34Z</dcterms:modified>
</cp:coreProperties>
</file>