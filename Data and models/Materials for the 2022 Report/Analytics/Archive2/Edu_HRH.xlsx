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887408C2-D0F1-4E88-9308-237E56F725EF}" xr6:coauthVersionLast="47" xr6:coauthVersionMax="47" xr10:uidLastSave="{00000000-0000-0000-0000-000000000000}"/>
  <bookViews>
    <workbookView xWindow="-110" yWindow="-110" windowWidth="19420" windowHeight="10300" activeTab="6" xr2:uid="{5A77A74F-F92B-41E8-A991-A2ABB6D779A8}"/>
  </bookViews>
  <sheets>
    <sheet name="2018" sheetId="1" r:id="rId1"/>
    <sheet name="2019" sheetId="2" r:id="rId2"/>
    <sheet name="2020" sheetId="3" r:id="rId3"/>
    <sheet name="2022" sheetId="4" r:id="rId4"/>
    <sheet name="2021" sheetId="5" r:id="rId5"/>
    <sheet name="Sheet1" sheetId="7" r:id="rId6"/>
    <sheet name="Medical doctors" sheetId="6" r:id="rId7"/>
  </sheet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J3" i="1"/>
  <c r="AK3" i="1"/>
  <c r="AL3" i="1"/>
  <c r="AI4" i="1"/>
  <c r="AJ4" i="1"/>
  <c r="AK4" i="1"/>
  <c r="AL4" i="1"/>
  <c r="AI5" i="1"/>
  <c r="AJ5" i="1"/>
  <c r="AK5" i="1"/>
  <c r="AL5" i="1"/>
  <c r="AI6" i="1"/>
  <c r="AJ6" i="1"/>
  <c r="AK6" i="1"/>
  <c r="AL6" i="1"/>
  <c r="AI7" i="1"/>
  <c r="AJ7" i="1"/>
  <c r="AK7" i="1"/>
  <c r="AL7" i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I13" i="1"/>
  <c r="AJ13" i="1"/>
  <c r="AK13" i="1"/>
  <c r="AL13" i="1"/>
  <c r="AI14" i="1"/>
  <c r="AJ14" i="1"/>
  <c r="AK14" i="1"/>
  <c r="AL14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I18" i="1"/>
  <c r="AJ18" i="1"/>
  <c r="AK18" i="1"/>
  <c r="AL18" i="1"/>
  <c r="AI19" i="1"/>
  <c r="AJ19" i="1"/>
  <c r="AK19" i="1"/>
  <c r="AL19" i="1"/>
  <c r="AI20" i="1"/>
  <c r="AJ20" i="1"/>
  <c r="AK20" i="1"/>
  <c r="AL20" i="1"/>
  <c r="AI21" i="1"/>
  <c r="AJ21" i="1"/>
  <c r="AK21" i="1"/>
  <c r="AL21" i="1"/>
  <c r="AI22" i="1"/>
  <c r="AJ22" i="1"/>
  <c r="AK22" i="1"/>
  <c r="AL22" i="1"/>
  <c r="AI23" i="1"/>
  <c r="AJ23" i="1"/>
  <c r="AK23" i="1"/>
  <c r="AL23" i="1"/>
  <c r="AK2" i="1"/>
  <c r="AL2" i="1"/>
  <c r="AJ2" i="1"/>
  <c r="AI2" i="1"/>
  <c r="AI3" i="2"/>
  <c r="AJ3" i="2"/>
  <c r="AK3" i="2"/>
  <c r="AL3" i="2"/>
  <c r="AI4" i="2"/>
  <c r="AJ4" i="2"/>
  <c r="AK4" i="2"/>
  <c r="AL4" i="2"/>
  <c r="AI5" i="2"/>
  <c r="AJ5" i="2"/>
  <c r="AK5" i="2"/>
  <c r="AL5" i="2"/>
  <c r="AI6" i="2"/>
  <c r="AJ6" i="2"/>
  <c r="AK6" i="2"/>
  <c r="AL6" i="2"/>
  <c r="AI7" i="2"/>
  <c r="AJ7" i="2"/>
  <c r="AK7" i="2"/>
  <c r="AL7" i="2"/>
  <c r="AI8" i="2"/>
  <c r="AJ8" i="2"/>
  <c r="AK8" i="2"/>
  <c r="AL8" i="2"/>
  <c r="AI9" i="2"/>
  <c r="AJ9" i="2"/>
  <c r="AK9" i="2"/>
  <c r="AL9" i="2"/>
  <c r="AI10" i="2"/>
  <c r="AJ10" i="2"/>
  <c r="AK10" i="2"/>
  <c r="AL10" i="2"/>
  <c r="AI11" i="2"/>
  <c r="AJ11" i="2"/>
  <c r="AK11" i="2"/>
  <c r="AL11" i="2"/>
  <c r="AL2" i="2"/>
  <c r="AK2" i="2"/>
  <c r="AJ2" i="2"/>
  <c r="AI2" i="2"/>
  <c r="AI3" i="3"/>
  <c r="AJ3" i="3"/>
  <c r="AK3" i="3"/>
  <c r="AL3" i="3"/>
  <c r="AI4" i="3"/>
  <c r="AJ4" i="3"/>
  <c r="AK4" i="3"/>
  <c r="AL4" i="3"/>
  <c r="AI5" i="3"/>
  <c r="AJ5" i="3"/>
  <c r="AK5" i="3"/>
  <c r="AL5" i="3"/>
  <c r="AI6" i="3"/>
  <c r="AJ6" i="3"/>
  <c r="AK6" i="3"/>
  <c r="AL6" i="3"/>
  <c r="AI7" i="3"/>
  <c r="AJ7" i="3"/>
  <c r="AK7" i="3"/>
  <c r="AL7" i="3"/>
  <c r="AI8" i="3"/>
  <c r="AJ8" i="3"/>
  <c r="AK8" i="3"/>
  <c r="AL8" i="3"/>
  <c r="AK2" i="3"/>
  <c r="AL2" i="3"/>
  <c r="AJ2" i="3"/>
  <c r="AI2" i="3"/>
  <c r="AI3" i="4"/>
  <c r="AJ3" i="4"/>
  <c r="AK3" i="4"/>
  <c r="AL3" i="4"/>
  <c r="AI4" i="4"/>
  <c r="AJ4" i="4"/>
  <c r="AK4" i="4"/>
  <c r="AL4" i="4"/>
  <c r="AI5" i="4"/>
  <c r="AJ5" i="4"/>
  <c r="AK5" i="4"/>
  <c r="AL5" i="4"/>
  <c r="AI6" i="4"/>
  <c r="AJ6" i="4"/>
  <c r="AK6" i="4"/>
  <c r="AL6" i="4"/>
  <c r="AI7" i="4"/>
  <c r="AJ7" i="4"/>
  <c r="AK7" i="4"/>
  <c r="AL7" i="4"/>
  <c r="AI2" i="4"/>
  <c r="AL2" i="4"/>
  <c r="AK2" i="4"/>
  <c r="AJ2" i="4"/>
  <c r="AI3" i="5"/>
  <c r="AJ3" i="5"/>
  <c r="AK3" i="5"/>
  <c r="AL3" i="5"/>
  <c r="AI4" i="5"/>
  <c r="AJ4" i="5"/>
  <c r="AK4" i="5"/>
  <c r="AL4" i="5"/>
  <c r="AI5" i="5"/>
  <c r="AJ5" i="5"/>
  <c r="AK5" i="5"/>
  <c r="AL5" i="5"/>
  <c r="AI6" i="5"/>
  <c r="AJ6" i="5"/>
  <c r="AK6" i="5"/>
  <c r="AL6" i="5"/>
  <c r="AI7" i="5"/>
  <c r="AJ7" i="5"/>
  <c r="AK7" i="5"/>
  <c r="AL7" i="5"/>
  <c r="AI8" i="5"/>
  <c r="AJ8" i="5"/>
  <c r="AK8" i="5"/>
  <c r="AL8" i="5"/>
  <c r="AI9" i="5"/>
  <c r="AJ9" i="5"/>
  <c r="AK9" i="5"/>
  <c r="AL9" i="5"/>
  <c r="AK2" i="5"/>
  <c r="AJ2" i="5"/>
  <c r="AI2" i="5"/>
  <c r="AL2" i="5"/>
</calcChain>
</file>

<file path=xl/sharedStrings.xml><?xml version="1.0" encoding="utf-8"?>
<sst xmlns="http://schemas.openxmlformats.org/spreadsheetml/2006/main" count="391" uniqueCount="73">
  <si>
    <t>Row Labels</t>
  </si>
  <si>
    <t>Sum of NHWA_Graduates in HWF Education and Training centers Medical Doctors</t>
  </si>
  <si>
    <t>Sum of NHWA_Applications in HWF Education and Training centers 9. Pharmacists</t>
  </si>
  <si>
    <t>Sum of NHWA_Applications in HWF Education and Training centers 8. Dentists</t>
  </si>
  <si>
    <t>Sum of NHWA_Applications in HWF Education and Training centers 7. Midwives not further defined</t>
  </si>
  <si>
    <t>Sum of NHWA_Applications in HWF Education and Training centers 6. Midwifery Associate Professionals</t>
  </si>
  <si>
    <t>Sum of NHWA_Applications in HWF Education and Training centers 5. Midwifery Professionals</t>
  </si>
  <si>
    <t>Sum of NHWA_Applications in HWF Education and Training centers 4. Nurses not further defined</t>
  </si>
  <si>
    <t>Sum of NHWA_Applications in HWF Education and Training centers 3. Nursing Associate Professionals</t>
  </si>
  <si>
    <t>Sum of NHWA_Applications in HWF Education and Training centers 2. Nursing Professionals</t>
  </si>
  <si>
    <t>Sum of NHWA_Applications in HWF Education and Training centers 1.2 Specialist Medical Practitioners</t>
  </si>
  <si>
    <t>Sum of NHWA_Applications in HWF Education and Training centers 1.1 Generalist Medical Practitioners</t>
  </si>
  <si>
    <t>Sum of NHWA_Educators in HWF Education and Training centers Pharmacist</t>
  </si>
  <si>
    <t>Sum of NHWA_Educators in HWF Education and Training centers Dentist</t>
  </si>
  <si>
    <t>Sum of NHWA_Educators in HWF Education and Training centers Midwifery Professional</t>
  </si>
  <si>
    <t>Sum of NHWA_Educators in HWF Education and Training centers Nursing Professional</t>
  </si>
  <si>
    <t>Sum of NHWA_Educators in HWF Education and Training centers Specialist Medical Practitioner</t>
  </si>
  <si>
    <t>Sum of NHWA_Educators in HWF Education and Training centers General Medical Practitioner</t>
  </si>
  <si>
    <t>Sum of NHWA_Educators in HWF Education and Training centers Medical Doctors</t>
  </si>
  <si>
    <t>Sum of NHWA_Enrolled in HWF Education and Training centers Pharmacist</t>
  </si>
  <si>
    <t>Sum of NHWA_Enrolled in HWF Education and Training centers Dentist</t>
  </si>
  <si>
    <t>Sum of NHWA_Enrolled in HWF Education and Training centers Midwifery Professional</t>
  </si>
  <si>
    <t>Sum of NHWA_Enrolled in HWF Education and Training centers Nursing Professional</t>
  </si>
  <si>
    <t>Sum of NHWA_Enrolled in HWF Education and Training centers Specialist Medical Practitioner</t>
  </si>
  <si>
    <t>Sum of NHWA_Enrolled in HWF Education and Training centers General Medical Practitioner</t>
  </si>
  <si>
    <t>Sum of NHWA_Enrolled in HWF Education and Training centers Medical Doctors</t>
  </si>
  <si>
    <t>Sum of NHWA_Graduates in HWF Education and Training centers General Paediatricians Practitioner</t>
  </si>
  <si>
    <t>Sum of NHWA_Graduates in HWF Education and Training centers Obstetricians and Gynaecologists Practitioner</t>
  </si>
  <si>
    <t>Sum of NHWA_Graduates in HWF Education and Training centers Pharmacist</t>
  </si>
  <si>
    <t>Sum of NHWA_Graduates in HWF Education and Training centers Dentist</t>
  </si>
  <si>
    <t>Sum of NHWA_Graduates in HWF Education and Training centers Midwifery Professional</t>
  </si>
  <si>
    <t>Sum of NHWA_Graduates in HWF Education and Training centers Nursing Professional</t>
  </si>
  <si>
    <t>Sum of NHWA_Graduates in HWF Education and Training centers Specialist Medical Practitioner</t>
  </si>
  <si>
    <t>Sum of NHWA_Graduates in HWF Education and Training centers General Medical Practitioner</t>
  </si>
  <si>
    <t>BEN</t>
  </si>
  <si>
    <t>BWA</t>
  </si>
  <si>
    <t>CIV</t>
  </si>
  <si>
    <t>CMR</t>
  </si>
  <si>
    <t>ERI</t>
  </si>
  <si>
    <t>GHA</t>
  </si>
  <si>
    <t>GMB</t>
  </si>
  <si>
    <t>LBR</t>
  </si>
  <si>
    <t>MDG</t>
  </si>
  <si>
    <t>MOZ</t>
  </si>
  <si>
    <t>MRT</t>
  </si>
  <si>
    <t>MWI</t>
  </si>
  <si>
    <t>NAM</t>
  </si>
  <si>
    <t>NGA</t>
  </si>
  <si>
    <t>RWA</t>
  </si>
  <si>
    <t>SLE</t>
  </si>
  <si>
    <t>SWZ</t>
  </si>
  <si>
    <t>TGO</t>
  </si>
  <si>
    <t>UGA</t>
  </si>
  <si>
    <t>ZAF</t>
  </si>
  <si>
    <t>ZWE</t>
  </si>
  <si>
    <t>Grand Total</t>
  </si>
  <si>
    <t>BFA</t>
  </si>
  <si>
    <t>SEN</t>
  </si>
  <si>
    <t>TCD</t>
  </si>
  <si>
    <t>Medical doctors applications</t>
  </si>
  <si>
    <t>Medical doctors Enrolled</t>
  </si>
  <si>
    <t>Medical Doctors Educators</t>
  </si>
  <si>
    <t>Medical Doctors Graduated</t>
  </si>
  <si>
    <t>Country</t>
  </si>
  <si>
    <t>Year</t>
  </si>
  <si>
    <t>Sum of Medical doctors applications</t>
  </si>
  <si>
    <t>Sum of Medical doctors Enrolled</t>
  </si>
  <si>
    <t>Sum of Medical Doctors Educators</t>
  </si>
  <si>
    <t>Sum of Medical Doctors Graduated</t>
  </si>
  <si>
    <t>The ratio of
admissions to
available places</t>
  </si>
  <si>
    <t>The ratio of students to qualified educators for education training</t>
  </si>
  <si>
    <t>Exit/drop-out rate from education and training programmes</t>
  </si>
  <si>
    <t>Graduation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</si>
</sst>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0.36005625" createdVersion="8" refreshedVersion="8" minRefreshableVersion="3" recordCount="48" xr:uid="{F491FBD7-9FE5-4A08-8499-C87541C3DE55}">
  <cacheSource type="worksheet">
    <worksheetSource ref="A40:F88" sheet="Medical doctors"/>
  </cacheSource>
  <cacheFields count="6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Country" numFmtId="0">
      <sharedItems count="24">
        <s v="BEN"/>
        <s v="BWA"/>
        <s v="CIV"/>
        <s v="CMR"/>
        <s v="ERI"/>
        <s v="GHA"/>
        <s v="GMB"/>
        <s v="LBR"/>
        <s v="MDG"/>
        <s v="MOZ"/>
        <s v="MRT"/>
        <s v="MWI"/>
        <s v="NAM"/>
        <s v="NGA"/>
        <s v="RWA"/>
        <s v="SLE"/>
        <s v="SWZ"/>
        <s v="TGO"/>
        <s v="UGA"/>
        <s v="ZAF"/>
        <s v="ZWE"/>
        <s v="BFA"/>
        <s v="SEN"/>
        <s v="TCD"/>
      </sharedItems>
    </cacheField>
    <cacheField name="Medical doctors applications" numFmtId="0">
      <sharedItems containsSemiMixedTypes="0" containsString="0" containsNumber="1" containsInteger="1" minValue="0" maxValue="7259"/>
    </cacheField>
    <cacheField name="Medical doctors Enrolled" numFmtId="0">
      <sharedItems containsSemiMixedTypes="0" containsString="0" containsNumber="1" containsInteger="1" minValue="0" maxValue="4340"/>
    </cacheField>
    <cacheField name="Medical Doctors Educators" numFmtId="0">
      <sharedItems containsSemiMixedTypes="0" containsString="0" containsNumber="1" containsInteger="1" minValue="0" maxValue="286"/>
    </cacheField>
    <cacheField name="Medical Doctors Graduated" numFmtId="0">
      <sharedItems containsSemiMixedTypes="0" containsString="0" containsNumber="1" containsInteger="1" minValue="0" maxValue="28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0"/>
    <n v="0"/>
    <n v="0"/>
    <n v="0"/>
  </r>
  <r>
    <x v="0"/>
    <x v="1"/>
    <n v="62"/>
    <n v="0"/>
    <n v="0"/>
    <n v="0"/>
  </r>
  <r>
    <x v="0"/>
    <x v="2"/>
    <n v="0"/>
    <n v="0"/>
    <n v="0"/>
    <n v="0"/>
  </r>
  <r>
    <x v="0"/>
    <x v="3"/>
    <n v="0"/>
    <n v="0"/>
    <n v="0"/>
    <n v="15"/>
  </r>
  <r>
    <x v="0"/>
    <x v="4"/>
    <n v="0"/>
    <n v="0"/>
    <n v="0"/>
    <n v="0"/>
  </r>
  <r>
    <x v="0"/>
    <x v="5"/>
    <n v="0"/>
    <n v="0"/>
    <n v="0"/>
    <n v="0"/>
  </r>
  <r>
    <x v="0"/>
    <x v="6"/>
    <n v="0"/>
    <n v="0"/>
    <n v="0"/>
    <n v="0"/>
  </r>
  <r>
    <x v="0"/>
    <x v="7"/>
    <n v="0"/>
    <n v="0"/>
    <n v="0"/>
    <n v="0"/>
  </r>
  <r>
    <x v="0"/>
    <x v="8"/>
    <n v="0"/>
    <n v="0"/>
    <n v="0"/>
    <n v="0"/>
  </r>
  <r>
    <x v="0"/>
    <x v="9"/>
    <n v="2473"/>
    <n v="0"/>
    <n v="0"/>
    <n v="0"/>
  </r>
  <r>
    <x v="0"/>
    <x v="10"/>
    <n v="0"/>
    <n v="0"/>
    <n v="24"/>
    <n v="0"/>
  </r>
  <r>
    <x v="0"/>
    <x v="11"/>
    <n v="0"/>
    <n v="0"/>
    <n v="0"/>
    <n v="0"/>
  </r>
  <r>
    <x v="0"/>
    <x v="12"/>
    <n v="0"/>
    <n v="0"/>
    <n v="0"/>
    <n v="0"/>
  </r>
  <r>
    <x v="0"/>
    <x v="13"/>
    <n v="0"/>
    <n v="0"/>
    <n v="0"/>
    <n v="2836"/>
  </r>
  <r>
    <x v="0"/>
    <x v="14"/>
    <n v="0"/>
    <n v="0"/>
    <n v="0"/>
    <n v="0"/>
  </r>
  <r>
    <x v="0"/>
    <x v="15"/>
    <n v="0"/>
    <n v="0"/>
    <n v="0"/>
    <n v="0"/>
  </r>
  <r>
    <x v="0"/>
    <x v="16"/>
    <n v="0"/>
    <n v="0"/>
    <n v="0"/>
    <n v="0"/>
  </r>
  <r>
    <x v="0"/>
    <x v="17"/>
    <n v="0"/>
    <n v="0"/>
    <n v="0"/>
    <n v="0"/>
  </r>
  <r>
    <x v="0"/>
    <x v="18"/>
    <n v="0"/>
    <n v="0"/>
    <n v="0"/>
    <n v="0"/>
  </r>
  <r>
    <x v="0"/>
    <x v="19"/>
    <n v="0"/>
    <n v="0"/>
    <n v="0"/>
    <n v="0"/>
  </r>
  <r>
    <x v="0"/>
    <x v="20"/>
    <n v="0"/>
    <n v="259"/>
    <n v="0"/>
    <n v="207"/>
  </r>
  <r>
    <x v="1"/>
    <x v="21"/>
    <n v="0"/>
    <n v="0"/>
    <n v="0"/>
    <n v="0"/>
  </r>
  <r>
    <x v="1"/>
    <x v="1"/>
    <n v="63"/>
    <n v="0"/>
    <n v="0"/>
    <n v="0"/>
  </r>
  <r>
    <x v="1"/>
    <x v="3"/>
    <n v="0"/>
    <n v="0"/>
    <n v="0"/>
    <n v="19"/>
  </r>
  <r>
    <x v="1"/>
    <x v="6"/>
    <n v="43"/>
    <n v="23"/>
    <n v="0"/>
    <n v="0"/>
  </r>
  <r>
    <x v="1"/>
    <x v="9"/>
    <n v="196"/>
    <n v="0"/>
    <n v="0"/>
    <n v="4"/>
  </r>
  <r>
    <x v="1"/>
    <x v="13"/>
    <n v="0"/>
    <n v="4340"/>
    <n v="0"/>
    <n v="0"/>
  </r>
  <r>
    <x v="1"/>
    <x v="22"/>
    <n v="0"/>
    <n v="0"/>
    <n v="0"/>
    <n v="0"/>
  </r>
  <r>
    <x v="1"/>
    <x v="15"/>
    <n v="0"/>
    <n v="242"/>
    <n v="0"/>
    <n v="243"/>
  </r>
  <r>
    <x v="1"/>
    <x v="23"/>
    <n v="0"/>
    <n v="1880"/>
    <n v="75"/>
    <n v="74"/>
  </r>
  <r>
    <x v="2"/>
    <x v="21"/>
    <n v="0"/>
    <n v="0"/>
    <n v="86"/>
    <n v="0"/>
  </r>
  <r>
    <x v="2"/>
    <x v="1"/>
    <n v="54"/>
    <n v="0"/>
    <n v="0"/>
    <n v="0"/>
  </r>
  <r>
    <x v="2"/>
    <x v="3"/>
    <n v="50"/>
    <n v="78"/>
    <n v="0"/>
    <n v="204"/>
  </r>
  <r>
    <x v="2"/>
    <x v="11"/>
    <n v="0"/>
    <n v="115"/>
    <n v="237"/>
    <n v="13"/>
  </r>
  <r>
    <x v="2"/>
    <x v="22"/>
    <n v="0"/>
    <n v="0"/>
    <n v="0"/>
    <n v="0"/>
  </r>
  <r>
    <x v="2"/>
    <x v="23"/>
    <n v="0"/>
    <n v="198"/>
    <n v="132"/>
    <n v="30"/>
  </r>
  <r>
    <x v="3"/>
    <x v="0"/>
    <n v="3491"/>
    <n v="0"/>
    <n v="0"/>
    <n v="0"/>
  </r>
  <r>
    <x v="3"/>
    <x v="21"/>
    <n v="7259"/>
    <n v="1758"/>
    <n v="156"/>
    <n v="9"/>
  </r>
  <r>
    <x v="3"/>
    <x v="1"/>
    <n v="62"/>
    <n v="0"/>
    <n v="0"/>
    <n v="0"/>
  </r>
  <r>
    <x v="3"/>
    <x v="3"/>
    <n v="0"/>
    <n v="0"/>
    <n v="0"/>
    <n v="21"/>
  </r>
  <r>
    <x v="3"/>
    <x v="9"/>
    <n v="303"/>
    <n v="0"/>
    <n v="0"/>
    <n v="21"/>
  </r>
  <r>
    <x v="3"/>
    <x v="22"/>
    <n v="0"/>
    <n v="0"/>
    <n v="286"/>
    <n v="529"/>
  </r>
  <r>
    <x v="3"/>
    <x v="23"/>
    <n v="3768"/>
    <n v="0"/>
    <n v="122"/>
    <n v="50"/>
  </r>
  <r>
    <x v="4"/>
    <x v="1"/>
    <n v="78"/>
    <n v="0"/>
    <n v="0"/>
    <n v="0"/>
  </r>
  <r>
    <x v="4"/>
    <x v="3"/>
    <n v="6108"/>
    <n v="0"/>
    <n v="0"/>
    <n v="0"/>
  </r>
  <r>
    <x v="4"/>
    <x v="16"/>
    <n v="0"/>
    <n v="0"/>
    <n v="0"/>
    <n v="0"/>
  </r>
  <r>
    <x v="4"/>
    <x v="23"/>
    <n v="5971"/>
    <n v="0"/>
    <n v="78"/>
    <n v="5"/>
  </r>
  <r>
    <x v="4"/>
    <x v="20"/>
    <n v="106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1DADC-6D58-42C6-8331-F147086BA8C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0" firstDataRow="1" firstDataCol="1" rowPageCount="1" colPageCount="1"/>
  <pivotFields count="6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5">
        <item x="0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2"/>
        <item x="15"/>
        <item x="16"/>
        <item x="23"/>
        <item x="17"/>
        <item x="18"/>
        <item x="19"/>
        <item x="2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10">
    <i>
      <x v="1"/>
    </i>
    <i>
      <x v="2"/>
    </i>
    <i>
      <x v="4"/>
    </i>
    <i>
      <x v="7"/>
    </i>
    <i>
      <x v="10"/>
    </i>
    <i>
      <x v="14"/>
    </i>
    <i>
      <x v="16"/>
    </i>
    <i>
      <x v="17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1" hier="-1"/>
  </pageFields>
  <dataFields count="4">
    <dataField name="Sum of Medical doctors applications" fld="2" baseField="0" baseItem="0"/>
    <dataField name="Sum of Medical doctors Enrolled" fld="3" baseField="0" baseItem="0"/>
    <dataField name="Sum of Medical Doctors Educators" fld="4" baseField="0" baseItem="0"/>
    <dataField name="Sum of Medical Doctors Graduat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9AC3-C49A-44FC-8289-483CA0C51093}">
  <dimension ref="A1:AL23"/>
  <sheetViews>
    <sheetView topLeftCell="A5" workbookViewId="0">
      <selection activeCell="A2" sqref="A2:A23"/>
    </sheetView>
  </sheetViews>
  <sheetFormatPr defaultRowHeight="14.5" x14ac:dyDescent="0.35"/>
  <sheetData>
    <row r="1" spans="1:38" s="1" customFormat="1" ht="2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4" t="s">
        <v>59</v>
      </c>
      <c r="AJ1" s="14" t="s">
        <v>60</v>
      </c>
      <c r="AK1" s="14" t="s">
        <v>61</v>
      </c>
      <c r="AL1" s="14" t="s">
        <v>62</v>
      </c>
    </row>
    <row r="2" spans="1:38" x14ac:dyDescent="0.35">
      <c r="A2" t="s">
        <v>34</v>
      </c>
      <c r="C2">
        <v>88</v>
      </c>
      <c r="G2">
        <v>150</v>
      </c>
      <c r="AI2">
        <f>K2+L2</f>
        <v>0</v>
      </c>
      <c r="AJ2">
        <f>X2+Y2+Z2</f>
        <v>0</v>
      </c>
      <c r="AK2">
        <f>Q2+R2+S2</f>
        <v>0</v>
      </c>
      <c r="AL2">
        <f>B2+AA2+AB2+AG2+AH2</f>
        <v>0</v>
      </c>
    </row>
    <row r="3" spans="1:38" x14ac:dyDescent="0.35">
      <c r="A3" t="s">
        <v>35</v>
      </c>
      <c r="C3">
        <v>84</v>
      </c>
      <c r="G3">
        <v>81</v>
      </c>
      <c r="H3">
        <v>264</v>
      </c>
      <c r="J3">
        <v>278</v>
      </c>
      <c r="K3">
        <v>49</v>
      </c>
      <c r="L3">
        <v>13</v>
      </c>
      <c r="AI3">
        <f t="shared" ref="AI3:AI23" si="0">K3+L3</f>
        <v>62</v>
      </c>
      <c r="AJ3">
        <f t="shared" ref="AJ3:AJ23" si="1">X3+Y3+Z3</f>
        <v>0</v>
      </c>
      <c r="AK3">
        <f t="shared" ref="AK3:AK23" si="2">Q3+R3+S3</f>
        <v>0</v>
      </c>
      <c r="AL3">
        <f t="shared" ref="AL3:AL23" si="3">B3+AA3+AB3+AG3+AH3</f>
        <v>0</v>
      </c>
    </row>
    <row r="4" spans="1:38" x14ac:dyDescent="0.35">
      <c r="A4" t="s">
        <v>36</v>
      </c>
      <c r="J4">
        <v>15000</v>
      </c>
      <c r="AI4">
        <f t="shared" si="0"/>
        <v>0</v>
      </c>
      <c r="AJ4">
        <f t="shared" si="1"/>
        <v>0</v>
      </c>
      <c r="AK4">
        <f t="shared" si="2"/>
        <v>0</v>
      </c>
      <c r="AL4">
        <f t="shared" si="3"/>
        <v>0</v>
      </c>
    </row>
    <row r="5" spans="1:38" x14ac:dyDescent="0.35">
      <c r="A5" t="s">
        <v>37</v>
      </c>
      <c r="AB5">
        <v>15</v>
      </c>
      <c r="AI5">
        <f t="shared" si="0"/>
        <v>0</v>
      </c>
      <c r="AJ5">
        <f t="shared" si="1"/>
        <v>0</v>
      </c>
      <c r="AK5">
        <f t="shared" si="2"/>
        <v>0</v>
      </c>
      <c r="AL5">
        <f t="shared" si="3"/>
        <v>15</v>
      </c>
    </row>
    <row r="6" spans="1:38" x14ac:dyDescent="0.35">
      <c r="A6" t="s">
        <v>38</v>
      </c>
      <c r="P6">
        <v>98</v>
      </c>
      <c r="AI6">
        <f t="shared" si="0"/>
        <v>0</v>
      </c>
      <c r="AJ6">
        <f t="shared" si="1"/>
        <v>0</v>
      </c>
      <c r="AK6">
        <f t="shared" si="2"/>
        <v>0</v>
      </c>
      <c r="AL6">
        <f t="shared" si="3"/>
        <v>0</v>
      </c>
    </row>
    <row r="7" spans="1:38" x14ac:dyDescent="0.35">
      <c r="A7" t="s">
        <v>39</v>
      </c>
      <c r="J7">
        <v>25119</v>
      </c>
      <c r="P7">
        <v>1363</v>
      </c>
      <c r="AI7">
        <f t="shared" si="0"/>
        <v>0</v>
      </c>
      <c r="AJ7">
        <f t="shared" si="1"/>
        <v>0</v>
      </c>
      <c r="AK7">
        <f t="shared" si="2"/>
        <v>0</v>
      </c>
      <c r="AL7">
        <f t="shared" si="3"/>
        <v>0</v>
      </c>
    </row>
    <row r="8" spans="1:38" x14ac:dyDescent="0.35">
      <c r="A8" t="s">
        <v>40</v>
      </c>
      <c r="J8">
        <v>650</v>
      </c>
      <c r="P8">
        <v>3</v>
      </c>
      <c r="AI8">
        <f t="shared" si="0"/>
        <v>0</v>
      </c>
      <c r="AJ8">
        <f t="shared" si="1"/>
        <v>0</v>
      </c>
      <c r="AK8">
        <f t="shared" si="2"/>
        <v>0</v>
      </c>
      <c r="AL8">
        <f t="shared" si="3"/>
        <v>0</v>
      </c>
    </row>
    <row r="9" spans="1:38" x14ac:dyDescent="0.35">
      <c r="A9" t="s">
        <v>41</v>
      </c>
      <c r="P9">
        <v>64</v>
      </c>
      <c r="AI9">
        <f t="shared" si="0"/>
        <v>0</v>
      </c>
      <c r="AJ9">
        <f t="shared" si="1"/>
        <v>0</v>
      </c>
      <c r="AK9">
        <f t="shared" si="2"/>
        <v>0</v>
      </c>
      <c r="AL9">
        <f t="shared" si="3"/>
        <v>0</v>
      </c>
    </row>
    <row r="10" spans="1:38" x14ac:dyDescent="0.35">
      <c r="A10" t="s">
        <v>42</v>
      </c>
      <c r="G10">
        <v>287</v>
      </c>
      <c r="J10">
        <v>674</v>
      </c>
      <c r="O10">
        <v>159</v>
      </c>
      <c r="P10">
        <v>198</v>
      </c>
      <c r="AI10">
        <f t="shared" si="0"/>
        <v>0</v>
      </c>
      <c r="AJ10">
        <f t="shared" si="1"/>
        <v>0</v>
      </c>
      <c r="AK10">
        <f t="shared" si="2"/>
        <v>0</v>
      </c>
      <c r="AL10">
        <f t="shared" si="3"/>
        <v>0</v>
      </c>
    </row>
    <row r="11" spans="1:38" x14ac:dyDescent="0.35">
      <c r="A11" t="s">
        <v>43</v>
      </c>
      <c r="C11">
        <v>2520</v>
      </c>
      <c r="D11">
        <v>570</v>
      </c>
      <c r="K11">
        <v>778</v>
      </c>
      <c r="L11">
        <v>1695</v>
      </c>
      <c r="P11">
        <v>629</v>
      </c>
      <c r="AI11">
        <f t="shared" si="0"/>
        <v>2473</v>
      </c>
      <c r="AJ11">
        <f t="shared" si="1"/>
        <v>0</v>
      </c>
      <c r="AK11">
        <f t="shared" si="2"/>
        <v>0</v>
      </c>
      <c r="AL11">
        <f t="shared" si="3"/>
        <v>0</v>
      </c>
    </row>
    <row r="12" spans="1:38" x14ac:dyDescent="0.35">
      <c r="A12" t="s">
        <v>44</v>
      </c>
      <c r="O12">
        <v>150</v>
      </c>
      <c r="P12">
        <v>150</v>
      </c>
      <c r="Q12">
        <v>8</v>
      </c>
      <c r="R12">
        <v>8</v>
      </c>
      <c r="S12">
        <v>8</v>
      </c>
      <c r="AI12">
        <f t="shared" si="0"/>
        <v>0</v>
      </c>
      <c r="AJ12">
        <f t="shared" si="1"/>
        <v>0</v>
      </c>
      <c r="AK12">
        <f t="shared" si="2"/>
        <v>24</v>
      </c>
      <c r="AL12">
        <f t="shared" si="3"/>
        <v>0</v>
      </c>
    </row>
    <row r="13" spans="1:38" x14ac:dyDescent="0.35">
      <c r="A13" t="s">
        <v>45</v>
      </c>
      <c r="P13">
        <v>241</v>
      </c>
      <c r="AI13">
        <f t="shared" si="0"/>
        <v>0</v>
      </c>
      <c r="AJ13">
        <f t="shared" si="1"/>
        <v>0</v>
      </c>
      <c r="AK13">
        <f t="shared" si="2"/>
        <v>0</v>
      </c>
      <c r="AL13">
        <f t="shared" si="3"/>
        <v>0</v>
      </c>
    </row>
    <row r="14" spans="1:38" x14ac:dyDescent="0.35">
      <c r="A14" t="s">
        <v>46</v>
      </c>
      <c r="J14">
        <v>737</v>
      </c>
      <c r="P14">
        <v>72</v>
      </c>
      <c r="AI14">
        <f t="shared" si="0"/>
        <v>0</v>
      </c>
      <c r="AJ14">
        <f t="shared" si="1"/>
        <v>0</v>
      </c>
      <c r="AK14">
        <f t="shared" si="2"/>
        <v>0</v>
      </c>
      <c r="AL14">
        <f t="shared" si="3"/>
        <v>0</v>
      </c>
    </row>
    <row r="15" spans="1:38" x14ac:dyDescent="0.35">
      <c r="A15" t="s">
        <v>47</v>
      </c>
      <c r="B15">
        <v>2836</v>
      </c>
      <c r="P15">
        <v>1825</v>
      </c>
      <c r="AI15">
        <f t="shared" si="0"/>
        <v>0</v>
      </c>
      <c r="AJ15">
        <f t="shared" si="1"/>
        <v>0</v>
      </c>
      <c r="AK15">
        <f t="shared" si="2"/>
        <v>0</v>
      </c>
      <c r="AL15">
        <f t="shared" si="3"/>
        <v>2836</v>
      </c>
    </row>
    <row r="16" spans="1:38" x14ac:dyDescent="0.35">
      <c r="A16" t="s">
        <v>48</v>
      </c>
      <c r="P16">
        <v>461</v>
      </c>
      <c r="AI16">
        <f t="shared" si="0"/>
        <v>0</v>
      </c>
      <c r="AJ16">
        <f t="shared" si="1"/>
        <v>0</v>
      </c>
      <c r="AK16">
        <f t="shared" si="2"/>
        <v>0</v>
      </c>
      <c r="AL16">
        <f t="shared" si="3"/>
        <v>0</v>
      </c>
    </row>
    <row r="17" spans="1:38" x14ac:dyDescent="0.35">
      <c r="A17" t="s">
        <v>49</v>
      </c>
      <c r="J17">
        <v>485</v>
      </c>
      <c r="P17">
        <v>20</v>
      </c>
      <c r="AI17">
        <f t="shared" si="0"/>
        <v>0</v>
      </c>
      <c r="AJ17">
        <f t="shared" si="1"/>
        <v>0</v>
      </c>
      <c r="AK17">
        <f t="shared" si="2"/>
        <v>0</v>
      </c>
      <c r="AL17">
        <f t="shared" si="3"/>
        <v>0</v>
      </c>
    </row>
    <row r="18" spans="1:38" x14ac:dyDescent="0.35">
      <c r="A18" t="s">
        <v>50</v>
      </c>
      <c r="J18">
        <v>2055</v>
      </c>
      <c r="P18">
        <v>79</v>
      </c>
      <c r="AI18">
        <f t="shared" si="0"/>
        <v>0</v>
      </c>
      <c r="AJ18">
        <f t="shared" si="1"/>
        <v>0</v>
      </c>
      <c r="AK18">
        <f t="shared" si="2"/>
        <v>0</v>
      </c>
      <c r="AL18">
        <f t="shared" si="3"/>
        <v>0</v>
      </c>
    </row>
    <row r="19" spans="1:38" x14ac:dyDescent="0.35">
      <c r="A19" t="s">
        <v>51</v>
      </c>
      <c r="J19">
        <v>5019</v>
      </c>
      <c r="AI19">
        <f t="shared" si="0"/>
        <v>0</v>
      </c>
      <c r="AJ19">
        <f t="shared" si="1"/>
        <v>0</v>
      </c>
      <c r="AK19">
        <f t="shared" si="2"/>
        <v>0</v>
      </c>
      <c r="AL19">
        <f t="shared" si="3"/>
        <v>0</v>
      </c>
    </row>
    <row r="20" spans="1:38" x14ac:dyDescent="0.35">
      <c r="A20" t="s">
        <v>52</v>
      </c>
      <c r="P20">
        <v>46</v>
      </c>
      <c r="AI20">
        <f t="shared" si="0"/>
        <v>0</v>
      </c>
      <c r="AJ20">
        <f t="shared" si="1"/>
        <v>0</v>
      </c>
      <c r="AK20">
        <f t="shared" si="2"/>
        <v>0</v>
      </c>
      <c r="AL20">
        <f t="shared" si="3"/>
        <v>0</v>
      </c>
    </row>
    <row r="21" spans="1:38" x14ac:dyDescent="0.35">
      <c r="A21" t="s">
        <v>53</v>
      </c>
      <c r="P21">
        <v>1544</v>
      </c>
      <c r="AI21">
        <f t="shared" si="0"/>
        <v>0</v>
      </c>
      <c r="AJ21">
        <f t="shared" si="1"/>
        <v>0</v>
      </c>
      <c r="AK21">
        <f t="shared" si="2"/>
        <v>0</v>
      </c>
      <c r="AL21">
        <f t="shared" si="3"/>
        <v>0</v>
      </c>
    </row>
    <row r="22" spans="1:38" x14ac:dyDescent="0.35">
      <c r="A22" t="s">
        <v>54</v>
      </c>
      <c r="B22">
        <v>207</v>
      </c>
      <c r="Z22">
        <v>259</v>
      </c>
      <c r="AI22">
        <f t="shared" si="0"/>
        <v>0</v>
      </c>
      <c r="AJ22">
        <f t="shared" si="1"/>
        <v>259</v>
      </c>
      <c r="AK22">
        <f t="shared" si="2"/>
        <v>0</v>
      </c>
      <c r="AL22">
        <f t="shared" si="3"/>
        <v>207</v>
      </c>
    </row>
    <row r="23" spans="1:38" x14ac:dyDescent="0.35">
      <c r="A23" t="s">
        <v>55</v>
      </c>
      <c r="B23">
        <v>3043</v>
      </c>
      <c r="C23">
        <v>2692</v>
      </c>
      <c r="D23">
        <v>570</v>
      </c>
      <c r="G23">
        <v>518</v>
      </c>
      <c r="H23">
        <v>264</v>
      </c>
      <c r="J23">
        <v>50017</v>
      </c>
      <c r="K23">
        <v>827</v>
      </c>
      <c r="L23">
        <v>1708</v>
      </c>
      <c r="O23">
        <v>309</v>
      </c>
      <c r="P23">
        <v>6793</v>
      </c>
      <c r="Q23">
        <v>8</v>
      </c>
      <c r="R23">
        <v>8</v>
      </c>
      <c r="S23">
        <v>8</v>
      </c>
      <c r="Z23">
        <v>259</v>
      </c>
      <c r="AB23">
        <v>15</v>
      </c>
      <c r="AI23">
        <f t="shared" si="0"/>
        <v>2535</v>
      </c>
      <c r="AJ23">
        <f t="shared" si="1"/>
        <v>259</v>
      </c>
      <c r="AK23">
        <f t="shared" si="2"/>
        <v>24</v>
      </c>
      <c r="AL23">
        <f t="shared" si="3"/>
        <v>3058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FCD5-4596-4369-A502-80312A6041E6}">
  <dimension ref="A1:AL11"/>
  <sheetViews>
    <sheetView topLeftCell="A2" workbookViewId="0">
      <selection activeCell="A2" sqref="A2:A11"/>
    </sheetView>
  </sheetViews>
  <sheetFormatPr defaultRowHeight="14.5" x14ac:dyDescent="0.35"/>
  <sheetData>
    <row r="1" spans="1:38" s="1" customFormat="1" ht="2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4" t="s">
        <v>59</v>
      </c>
      <c r="AJ1" s="14" t="s">
        <v>60</v>
      </c>
      <c r="AK1" s="14" t="s">
        <v>61</v>
      </c>
      <c r="AL1" s="14" t="s">
        <v>62</v>
      </c>
    </row>
    <row r="2" spans="1:38" x14ac:dyDescent="0.35">
      <c r="A2" t="s">
        <v>56</v>
      </c>
      <c r="G2">
        <v>20405</v>
      </c>
      <c r="J2">
        <v>35913</v>
      </c>
      <c r="AI2">
        <f>K2+L2</f>
        <v>0</v>
      </c>
      <c r="AJ2">
        <f>X2+Y2+Z2</f>
        <v>0</v>
      </c>
      <c r="AK2">
        <f>Q2+R2+S2</f>
        <v>0</v>
      </c>
      <c r="AL2">
        <f>B2+AA2+AB2+AG2+AH2</f>
        <v>0</v>
      </c>
    </row>
    <row r="3" spans="1:38" x14ac:dyDescent="0.35">
      <c r="A3" t="s">
        <v>35</v>
      </c>
      <c r="C3">
        <v>147</v>
      </c>
      <c r="G3">
        <v>68</v>
      </c>
      <c r="H3">
        <v>255</v>
      </c>
      <c r="J3">
        <v>231</v>
      </c>
      <c r="K3">
        <v>53</v>
      </c>
      <c r="L3">
        <v>10</v>
      </c>
      <c r="AI3">
        <f t="shared" ref="AI3:AI11" si="0">K3+L3</f>
        <v>63</v>
      </c>
      <c r="AJ3">
        <f t="shared" ref="AJ3:AJ11" si="1">X3+Y3+Z3</f>
        <v>0</v>
      </c>
      <c r="AK3">
        <f t="shared" ref="AK3:AK11" si="2">Q3+R3+S3</f>
        <v>0</v>
      </c>
      <c r="AL3">
        <f t="shared" ref="AL3:AL11" si="3">B3+AA3+AB3+AG3+AH3</f>
        <v>0</v>
      </c>
    </row>
    <row r="4" spans="1:38" x14ac:dyDescent="0.35">
      <c r="A4" t="s">
        <v>37</v>
      </c>
      <c r="AB4">
        <v>19</v>
      </c>
      <c r="AI4">
        <f t="shared" si="0"/>
        <v>0</v>
      </c>
      <c r="AJ4">
        <f t="shared" si="1"/>
        <v>0</v>
      </c>
      <c r="AK4">
        <f t="shared" si="2"/>
        <v>0</v>
      </c>
      <c r="AL4">
        <f t="shared" si="3"/>
        <v>19</v>
      </c>
    </row>
    <row r="5" spans="1:38" x14ac:dyDescent="0.35">
      <c r="A5" t="s">
        <v>40</v>
      </c>
      <c r="C5">
        <v>104</v>
      </c>
      <c r="D5">
        <v>0</v>
      </c>
      <c r="G5">
        <v>156</v>
      </c>
      <c r="J5">
        <v>498</v>
      </c>
      <c r="K5">
        <v>0</v>
      </c>
      <c r="L5">
        <v>43</v>
      </c>
      <c r="Z5">
        <v>23</v>
      </c>
      <c r="AI5">
        <f t="shared" si="0"/>
        <v>43</v>
      </c>
      <c r="AJ5">
        <f t="shared" si="1"/>
        <v>23</v>
      </c>
      <c r="AK5">
        <f t="shared" si="2"/>
        <v>0</v>
      </c>
      <c r="AL5">
        <f t="shared" si="3"/>
        <v>0</v>
      </c>
    </row>
    <row r="6" spans="1:38" x14ac:dyDescent="0.35">
      <c r="A6" t="s">
        <v>43</v>
      </c>
      <c r="G6">
        <v>8122</v>
      </c>
      <c r="J6">
        <v>8257</v>
      </c>
      <c r="K6">
        <v>196</v>
      </c>
      <c r="AA6">
        <v>3</v>
      </c>
      <c r="AB6">
        <v>1</v>
      </c>
      <c r="AI6">
        <f t="shared" si="0"/>
        <v>196</v>
      </c>
      <c r="AJ6">
        <f t="shared" si="1"/>
        <v>0</v>
      </c>
      <c r="AK6">
        <f t="shared" si="2"/>
        <v>0</v>
      </c>
      <c r="AL6">
        <f t="shared" si="3"/>
        <v>4</v>
      </c>
    </row>
    <row r="7" spans="1:38" x14ac:dyDescent="0.35">
      <c r="A7" t="s">
        <v>47</v>
      </c>
      <c r="Z7">
        <v>4340</v>
      </c>
      <c r="AI7">
        <f t="shared" si="0"/>
        <v>0</v>
      </c>
      <c r="AJ7">
        <f t="shared" si="1"/>
        <v>4340</v>
      </c>
      <c r="AK7">
        <f t="shared" si="2"/>
        <v>0</v>
      </c>
      <c r="AL7">
        <f t="shared" si="3"/>
        <v>0</v>
      </c>
    </row>
    <row r="8" spans="1:38" x14ac:dyDescent="0.35">
      <c r="A8" t="s">
        <v>57</v>
      </c>
      <c r="G8">
        <v>1860</v>
      </c>
      <c r="J8">
        <v>3082</v>
      </c>
      <c r="AI8">
        <f t="shared" si="0"/>
        <v>0</v>
      </c>
      <c r="AJ8">
        <f t="shared" si="1"/>
        <v>0</v>
      </c>
      <c r="AK8">
        <f t="shared" si="2"/>
        <v>0</v>
      </c>
      <c r="AL8">
        <f t="shared" si="3"/>
        <v>0</v>
      </c>
    </row>
    <row r="9" spans="1:38" x14ac:dyDescent="0.35">
      <c r="A9" t="s">
        <v>49</v>
      </c>
      <c r="B9">
        <v>240</v>
      </c>
      <c r="Z9">
        <v>242</v>
      </c>
      <c r="AA9">
        <v>3</v>
      </c>
      <c r="AB9">
        <v>0</v>
      </c>
      <c r="AI9">
        <f t="shared" si="0"/>
        <v>0</v>
      </c>
      <c r="AJ9">
        <f t="shared" si="1"/>
        <v>242</v>
      </c>
      <c r="AK9">
        <f t="shared" si="2"/>
        <v>0</v>
      </c>
      <c r="AL9">
        <f t="shared" si="3"/>
        <v>243</v>
      </c>
    </row>
    <row r="10" spans="1:38" x14ac:dyDescent="0.35">
      <c r="A10" t="s">
        <v>58</v>
      </c>
      <c r="B10">
        <v>74</v>
      </c>
      <c r="C10">
        <v>60</v>
      </c>
      <c r="G10">
        <v>60</v>
      </c>
      <c r="J10">
        <v>302</v>
      </c>
      <c r="M10">
        <v>50</v>
      </c>
      <c r="N10">
        <v>0</v>
      </c>
      <c r="O10">
        <v>68</v>
      </c>
      <c r="P10">
        <v>84</v>
      </c>
      <c r="R10">
        <v>75</v>
      </c>
      <c r="Z10">
        <v>1880</v>
      </c>
      <c r="AI10">
        <f t="shared" si="0"/>
        <v>0</v>
      </c>
      <c r="AJ10">
        <f t="shared" si="1"/>
        <v>1880</v>
      </c>
      <c r="AK10">
        <f t="shared" si="2"/>
        <v>75</v>
      </c>
      <c r="AL10">
        <f t="shared" si="3"/>
        <v>74</v>
      </c>
    </row>
    <row r="11" spans="1:38" x14ac:dyDescent="0.35">
      <c r="A11" t="s">
        <v>55</v>
      </c>
      <c r="B11">
        <v>314</v>
      </c>
      <c r="C11">
        <v>311</v>
      </c>
      <c r="D11">
        <v>0</v>
      </c>
      <c r="G11">
        <v>30671</v>
      </c>
      <c r="H11">
        <v>255</v>
      </c>
      <c r="J11">
        <v>48283</v>
      </c>
      <c r="K11">
        <v>249</v>
      </c>
      <c r="L11">
        <v>53</v>
      </c>
      <c r="M11">
        <v>50</v>
      </c>
      <c r="N11">
        <v>0</v>
      </c>
      <c r="O11">
        <v>68</v>
      </c>
      <c r="P11">
        <v>84</v>
      </c>
      <c r="R11">
        <v>75</v>
      </c>
      <c r="Z11">
        <v>6485</v>
      </c>
      <c r="AA11">
        <v>6</v>
      </c>
      <c r="AB11">
        <v>20</v>
      </c>
      <c r="AI11">
        <f t="shared" si="0"/>
        <v>302</v>
      </c>
      <c r="AJ11">
        <f t="shared" si="1"/>
        <v>6485</v>
      </c>
      <c r="AK11">
        <f t="shared" si="2"/>
        <v>75</v>
      </c>
      <c r="AL11">
        <f t="shared" si="3"/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9C6F-3D1E-4050-BEA5-39F4E4FAEEB4}">
  <dimension ref="A1:AL8"/>
  <sheetViews>
    <sheetView topLeftCell="A2" workbookViewId="0">
      <selection activeCell="A2" sqref="A2:A8"/>
    </sheetView>
  </sheetViews>
  <sheetFormatPr defaultRowHeight="14.5" x14ac:dyDescent="0.35"/>
  <sheetData>
    <row r="1" spans="1:38" s="1" customFormat="1" ht="2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4" t="s">
        <v>59</v>
      </c>
      <c r="AJ1" s="14" t="s">
        <v>60</v>
      </c>
      <c r="AK1" s="14" t="s">
        <v>61</v>
      </c>
      <c r="AL1" s="14" t="s">
        <v>62</v>
      </c>
    </row>
    <row r="2" spans="1:38" x14ac:dyDescent="0.35">
      <c r="A2" t="s">
        <v>56</v>
      </c>
      <c r="S2">
        <v>86</v>
      </c>
      <c r="AI2">
        <f>K2+L2</f>
        <v>0</v>
      </c>
      <c r="AJ2">
        <f>X2+Y2+Z2</f>
        <v>0</v>
      </c>
      <c r="AK2">
        <f>Q2+R2+S2</f>
        <v>86</v>
      </c>
      <c r="AL2">
        <f>B2+AA2+AB2+AG2+AH2</f>
        <v>0</v>
      </c>
    </row>
    <row r="3" spans="1:38" x14ac:dyDescent="0.35">
      <c r="A3" t="s">
        <v>35</v>
      </c>
      <c r="C3">
        <v>184</v>
      </c>
      <c r="G3">
        <v>71</v>
      </c>
      <c r="H3">
        <v>270</v>
      </c>
      <c r="J3">
        <v>470</v>
      </c>
      <c r="K3">
        <v>45</v>
      </c>
      <c r="L3">
        <v>9</v>
      </c>
      <c r="AI3">
        <f t="shared" ref="AI3:AI8" si="0">K3+L3</f>
        <v>54</v>
      </c>
      <c r="AJ3">
        <f t="shared" ref="AJ3:AJ8" si="1">X3+Y3+Z3</f>
        <v>0</v>
      </c>
      <c r="AK3">
        <f t="shared" ref="AK3:AK8" si="2">Q3+R3+S3</f>
        <v>0</v>
      </c>
      <c r="AL3">
        <f t="shared" ref="AL3:AL8" si="3">B3+AA3+AB3+AG3+AH3</f>
        <v>0</v>
      </c>
    </row>
    <row r="4" spans="1:38" x14ac:dyDescent="0.35">
      <c r="A4" t="s">
        <v>37</v>
      </c>
      <c r="B4">
        <v>193</v>
      </c>
      <c r="C4">
        <v>1000</v>
      </c>
      <c r="D4">
        <v>807</v>
      </c>
      <c r="G4">
        <v>8022</v>
      </c>
      <c r="J4">
        <v>35217</v>
      </c>
      <c r="K4">
        <v>38</v>
      </c>
      <c r="L4">
        <v>12</v>
      </c>
      <c r="Z4">
        <v>78</v>
      </c>
      <c r="AA4">
        <v>2</v>
      </c>
      <c r="AB4">
        <v>9</v>
      </c>
      <c r="AI4">
        <f t="shared" si="0"/>
        <v>50</v>
      </c>
      <c r="AJ4">
        <f t="shared" si="1"/>
        <v>78</v>
      </c>
      <c r="AK4">
        <f t="shared" si="2"/>
        <v>0</v>
      </c>
      <c r="AL4">
        <f t="shared" si="3"/>
        <v>204</v>
      </c>
    </row>
    <row r="5" spans="1:38" x14ac:dyDescent="0.35">
      <c r="A5" t="s">
        <v>45</v>
      </c>
      <c r="M5">
        <v>17</v>
      </c>
      <c r="N5">
        <v>2</v>
      </c>
      <c r="P5">
        <v>416</v>
      </c>
      <c r="Q5">
        <v>154</v>
      </c>
      <c r="R5">
        <v>83</v>
      </c>
      <c r="Z5">
        <v>115</v>
      </c>
      <c r="AA5">
        <v>6</v>
      </c>
      <c r="AB5">
        <v>7</v>
      </c>
      <c r="AI5">
        <f t="shared" si="0"/>
        <v>0</v>
      </c>
      <c r="AJ5">
        <f t="shared" si="1"/>
        <v>115</v>
      </c>
      <c r="AK5">
        <f t="shared" si="2"/>
        <v>237</v>
      </c>
      <c r="AL5">
        <f t="shared" si="3"/>
        <v>13</v>
      </c>
    </row>
    <row r="6" spans="1:38" x14ac:dyDescent="0.35">
      <c r="A6" t="s">
        <v>57</v>
      </c>
      <c r="C6">
        <v>289</v>
      </c>
      <c r="D6">
        <v>70</v>
      </c>
      <c r="AI6">
        <f t="shared" si="0"/>
        <v>0</v>
      </c>
      <c r="AJ6">
        <f t="shared" si="1"/>
        <v>0</v>
      </c>
      <c r="AK6">
        <f t="shared" si="2"/>
        <v>0</v>
      </c>
      <c r="AL6">
        <f t="shared" si="3"/>
        <v>0</v>
      </c>
    </row>
    <row r="7" spans="1:38" x14ac:dyDescent="0.35">
      <c r="A7" t="s">
        <v>58</v>
      </c>
      <c r="G7">
        <v>821</v>
      </c>
      <c r="J7">
        <v>3738</v>
      </c>
      <c r="M7">
        <v>38</v>
      </c>
      <c r="P7">
        <v>90</v>
      </c>
      <c r="S7">
        <v>132</v>
      </c>
      <c r="Z7">
        <v>198</v>
      </c>
      <c r="AA7">
        <v>5</v>
      </c>
      <c r="AB7">
        <v>25</v>
      </c>
      <c r="AI7">
        <f t="shared" si="0"/>
        <v>0</v>
      </c>
      <c r="AJ7">
        <f t="shared" si="1"/>
        <v>198</v>
      </c>
      <c r="AK7">
        <f t="shared" si="2"/>
        <v>132</v>
      </c>
      <c r="AL7">
        <f t="shared" si="3"/>
        <v>30</v>
      </c>
    </row>
    <row r="8" spans="1:38" x14ac:dyDescent="0.35">
      <c r="A8" t="s">
        <v>55</v>
      </c>
      <c r="B8">
        <v>193</v>
      </c>
      <c r="C8">
        <v>1473</v>
      </c>
      <c r="D8">
        <v>877</v>
      </c>
      <c r="G8">
        <v>8914</v>
      </c>
      <c r="H8">
        <v>270</v>
      </c>
      <c r="J8">
        <v>39425</v>
      </c>
      <c r="K8">
        <v>83</v>
      </c>
      <c r="L8">
        <v>21</v>
      </c>
      <c r="M8">
        <v>55</v>
      </c>
      <c r="N8">
        <v>2</v>
      </c>
      <c r="P8">
        <v>506</v>
      </c>
      <c r="Q8">
        <v>154</v>
      </c>
      <c r="R8">
        <v>83</v>
      </c>
      <c r="S8">
        <v>218</v>
      </c>
      <c r="Z8">
        <v>391</v>
      </c>
      <c r="AA8">
        <v>13</v>
      </c>
      <c r="AB8">
        <v>41</v>
      </c>
      <c r="AI8">
        <f t="shared" si="0"/>
        <v>104</v>
      </c>
      <c r="AJ8">
        <f t="shared" si="1"/>
        <v>391</v>
      </c>
      <c r="AK8">
        <f t="shared" si="2"/>
        <v>455</v>
      </c>
      <c r="AL8">
        <f t="shared" si="3"/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E75B-A03F-49BD-BE53-A029740332B2}">
  <dimension ref="A1:AL7"/>
  <sheetViews>
    <sheetView topLeftCell="A4" workbookViewId="0">
      <selection activeCell="A2" sqref="A2:A7"/>
    </sheetView>
  </sheetViews>
  <sheetFormatPr defaultRowHeight="14.5" x14ac:dyDescent="0.35"/>
  <sheetData>
    <row r="1" spans="1:38" s="1" customFormat="1" ht="2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4" t="s">
        <v>59</v>
      </c>
      <c r="AJ1" s="14" t="s">
        <v>60</v>
      </c>
      <c r="AK1" s="14" t="s">
        <v>61</v>
      </c>
      <c r="AL1" s="14" t="s">
        <v>62</v>
      </c>
    </row>
    <row r="2" spans="1:38" x14ac:dyDescent="0.35">
      <c r="A2" t="s">
        <v>35</v>
      </c>
      <c r="C2">
        <v>239</v>
      </c>
      <c r="G2">
        <v>36</v>
      </c>
      <c r="H2">
        <v>291</v>
      </c>
      <c r="J2">
        <v>754</v>
      </c>
      <c r="K2">
        <v>58</v>
      </c>
      <c r="L2">
        <v>20</v>
      </c>
      <c r="AI2">
        <f>K2+L2</f>
        <v>78</v>
      </c>
      <c r="AJ2">
        <f>X2+Y2+Z2</f>
        <v>0</v>
      </c>
      <c r="AK2">
        <f>Q2+R2+S2</f>
        <v>0</v>
      </c>
      <c r="AL2">
        <f>B2+AA2+AB2+AG2+AH2</f>
        <v>0</v>
      </c>
    </row>
    <row r="3" spans="1:38" x14ac:dyDescent="0.35">
      <c r="A3" t="s">
        <v>37</v>
      </c>
      <c r="C3">
        <v>483</v>
      </c>
      <c r="D3">
        <v>726</v>
      </c>
      <c r="G3">
        <v>6</v>
      </c>
      <c r="J3">
        <v>743</v>
      </c>
      <c r="K3">
        <v>721</v>
      </c>
      <c r="L3">
        <v>5387</v>
      </c>
      <c r="AI3">
        <f t="shared" ref="AI3:AI7" si="0">K3+L3</f>
        <v>6108</v>
      </c>
      <c r="AJ3">
        <f t="shared" ref="AJ3:AJ7" si="1">X3+Y3+Z3</f>
        <v>0</v>
      </c>
      <c r="AK3">
        <f t="shared" ref="AK3:AK7" si="2">Q3+R3+S3</f>
        <v>0</v>
      </c>
      <c r="AL3">
        <f t="shared" ref="AL3:AL7" si="3">B3+AA3+AB3+AG3+AH3</f>
        <v>0</v>
      </c>
    </row>
    <row r="4" spans="1:38" x14ac:dyDescent="0.35">
      <c r="A4" t="s">
        <v>50</v>
      </c>
      <c r="C4">
        <v>500</v>
      </c>
      <c r="F4">
        <v>25</v>
      </c>
      <c r="G4">
        <v>1425</v>
      </c>
      <c r="I4">
        <v>3419</v>
      </c>
      <c r="J4">
        <v>3170</v>
      </c>
      <c r="AI4">
        <f t="shared" si="0"/>
        <v>0</v>
      </c>
      <c r="AJ4">
        <f t="shared" si="1"/>
        <v>0</v>
      </c>
      <c r="AK4">
        <f t="shared" si="2"/>
        <v>0</v>
      </c>
      <c r="AL4">
        <f t="shared" si="3"/>
        <v>0</v>
      </c>
    </row>
    <row r="5" spans="1:38" x14ac:dyDescent="0.35">
      <c r="A5" t="s">
        <v>58</v>
      </c>
      <c r="C5">
        <v>1690</v>
      </c>
      <c r="G5">
        <v>5020</v>
      </c>
      <c r="J5">
        <v>5628</v>
      </c>
      <c r="L5">
        <v>5971</v>
      </c>
      <c r="M5">
        <v>44</v>
      </c>
      <c r="O5">
        <v>96</v>
      </c>
      <c r="P5">
        <v>96</v>
      </c>
      <c r="Q5">
        <v>43</v>
      </c>
      <c r="R5">
        <v>35</v>
      </c>
      <c r="AB5">
        <v>5</v>
      </c>
      <c r="AI5">
        <f t="shared" si="0"/>
        <v>5971</v>
      </c>
      <c r="AJ5">
        <f t="shared" si="1"/>
        <v>0</v>
      </c>
      <c r="AK5">
        <f t="shared" si="2"/>
        <v>78</v>
      </c>
      <c r="AL5">
        <f t="shared" si="3"/>
        <v>5</v>
      </c>
    </row>
    <row r="6" spans="1:38" x14ac:dyDescent="0.35">
      <c r="A6" t="s">
        <v>54</v>
      </c>
      <c r="C6">
        <v>465</v>
      </c>
      <c r="I6">
        <v>8000</v>
      </c>
      <c r="J6">
        <v>9000</v>
      </c>
      <c r="L6">
        <v>1060</v>
      </c>
      <c r="AI6">
        <f t="shared" si="0"/>
        <v>1060</v>
      </c>
      <c r="AJ6">
        <f t="shared" si="1"/>
        <v>0</v>
      </c>
      <c r="AK6">
        <f t="shared" si="2"/>
        <v>0</v>
      </c>
      <c r="AL6">
        <f t="shared" si="3"/>
        <v>0</v>
      </c>
    </row>
    <row r="7" spans="1:38" x14ac:dyDescent="0.35">
      <c r="A7" t="s">
        <v>55</v>
      </c>
      <c r="C7">
        <v>3377</v>
      </c>
      <c r="D7">
        <v>726</v>
      </c>
      <c r="F7">
        <v>25</v>
      </c>
      <c r="G7">
        <v>6487</v>
      </c>
      <c r="H7">
        <v>291</v>
      </c>
      <c r="I7">
        <v>11419</v>
      </c>
      <c r="J7">
        <v>19295</v>
      </c>
      <c r="K7">
        <v>779</v>
      </c>
      <c r="L7">
        <v>12438</v>
      </c>
      <c r="M7">
        <v>44</v>
      </c>
      <c r="O7">
        <v>96</v>
      </c>
      <c r="P7">
        <v>96</v>
      </c>
      <c r="Q7">
        <v>43</v>
      </c>
      <c r="R7">
        <v>35</v>
      </c>
      <c r="AB7">
        <v>5</v>
      </c>
      <c r="AI7">
        <f t="shared" si="0"/>
        <v>13217</v>
      </c>
      <c r="AJ7">
        <f t="shared" si="1"/>
        <v>0</v>
      </c>
      <c r="AK7">
        <f t="shared" si="2"/>
        <v>78</v>
      </c>
      <c r="AL7">
        <f t="shared" si="3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1CC6-EC18-408F-A9B7-5653B1ABBF2E}">
  <dimension ref="A1:AL9"/>
  <sheetViews>
    <sheetView topLeftCell="A4" workbookViewId="0">
      <selection activeCell="A2" sqref="A2:A9"/>
    </sheetView>
  </sheetViews>
  <sheetFormatPr defaultRowHeight="14.5" x14ac:dyDescent="0.35"/>
  <cols>
    <col min="35" max="35" width="10.90625" customWidth="1"/>
    <col min="37" max="37" width="10" customWidth="1"/>
    <col min="38" max="38" width="10.08984375" customWidth="1"/>
  </cols>
  <sheetData>
    <row r="1" spans="1:38" ht="217.5" x14ac:dyDescent="0.35">
      <c r="A1" s="2" t="s">
        <v>0</v>
      </c>
      <c r="B1" s="1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8" t="s">
        <v>10</v>
      </c>
      <c r="L1" s="1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0" t="s">
        <v>16</v>
      </c>
      <c r="R1" s="20" t="s">
        <v>17</v>
      </c>
      <c r="S1" s="20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9" t="s">
        <v>23</v>
      </c>
      <c r="Y1" s="19" t="s">
        <v>24</v>
      </c>
      <c r="Z1" s="19" t="s">
        <v>25</v>
      </c>
      <c r="AA1" s="16" t="s">
        <v>26</v>
      </c>
      <c r="AB1" s="16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6" t="s">
        <v>32</v>
      </c>
      <c r="AH1" s="17" t="s">
        <v>33</v>
      </c>
      <c r="AI1" s="14" t="s">
        <v>59</v>
      </c>
      <c r="AJ1" s="14" t="s">
        <v>60</v>
      </c>
      <c r="AK1" s="14" t="s">
        <v>61</v>
      </c>
      <c r="AL1" s="14" t="s">
        <v>62</v>
      </c>
    </row>
    <row r="2" spans="1:38" x14ac:dyDescent="0.35">
      <c r="A2" s="5" t="s">
        <v>34</v>
      </c>
      <c r="B2" s="2"/>
      <c r="C2" s="3">
        <v>140</v>
      </c>
      <c r="D2" s="3"/>
      <c r="E2" s="3"/>
      <c r="F2" s="3"/>
      <c r="G2" s="3">
        <v>238</v>
      </c>
      <c r="H2" s="3"/>
      <c r="I2" s="3"/>
      <c r="J2" s="3">
        <v>257</v>
      </c>
      <c r="K2" s="3">
        <v>358</v>
      </c>
      <c r="L2" s="3">
        <v>3133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>
        <f>K2+L2</f>
        <v>3491</v>
      </c>
      <c r="AJ2">
        <f>X2+Y2+Z2</f>
        <v>0</v>
      </c>
      <c r="AK2">
        <f>Q2+R2+S2</f>
        <v>0</v>
      </c>
      <c r="AL2">
        <f>B2+AA2+AB2+AG2+AH2</f>
        <v>0</v>
      </c>
    </row>
    <row r="3" spans="1:38" x14ac:dyDescent="0.35">
      <c r="A3" s="6" t="s">
        <v>56</v>
      </c>
      <c r="B3" s="7"/>
      <c r="C3" s="8">
        <v>5043</v>
      </c>
      <c r="D3" s="8">
        <v>1945</v>
      </c>
      <c r="E3" s="8"/>
      <c r="F3" s="8"/>
      <c r="G3" s="8"/>
      <c r="H3" s="8"/>
      <c r="I3" s="8"/>
      <c r="J3" s="8"/>
      <c r="K3" s="8">
        <v>848</v>
      </c>
      <c r="L3" s="8">
        <v>6411</v>
      </c>
      <c r="M3" s="8"/>
      <c r="N3" s="8">
        <v>48</v>
      </c>
      <c r="O3" s="8"/>
      <c r="P3" s="8"/>
      <c r="Q3" s="8"/>
      <c r="R3" s="8"/>
      <c r="S3" s="8">
        <v>156</v>
      </c>
      <c r="T3" s="8"/>
      <c r="U3" s="8"/>
      <c r="V3" s="8"/>
      <c r="W3" s="8"/>
      <c r="X3" s="8"/>
      <c r="Y3" s="8"/>
      <c r="Z3" s="8">
        <v>1758</v>
      </c>
      <c r="AA3" s="8">
        <v>9</v>
      </c>
      <c r="AB3" s="8"/>
      <c r="AC3" s="8"/>
      <c r="AD3" s="8"/>
      <c r="AE3" s="8"/>
      <c r="AF3" s="8"/>
      <c r="AG3" s="8"/>
      <c r="AH3" s="9"/>
      <c r="AI3">
        <f t="shared" ref="AI3:AI9" si="0">K3+L3</f>
        <v>7259</v>
      </c>
      <c r="AJ3">
        <f t="shared" ref="AJ3:AJ9" si="1">X3+Y3+Z3</f>
        <v>1758</v>
      </c>
      <c r="AK3">
        <f t="shared" ref="AK3:AK9" si="2">Q3+R3+S3</f>
        <v>156</v>
      </c>
      <c r="AL3">
        <f t="shared" ref="AL3:AL9" si="3">B3+AA3+AB3+AG3+AH3</f>
        <v>9</v>
      </c>
    </row>
    <row r="4" spans="1:38" x14ac:dyDescent="0.35">
      <c r="A4" s="6" t="s">
        <v>35</v>
      </c>
      <c r="B4" s="7"/>
      <c r="C4" s="8">
        <v>183</v>
      </c>
      <c r="D4" s="8"/>
      <c r="E4" s="8"/>
      <c r="F4" s="8"/>
      <c r="G4" s="8">
        <v>83</v>
      </c>
      <c r="H4" s="8">
        <v>295</v>
      </c>
      <c r="I4" s="8"/>
      <c r="J4" s="8">
        <v>431</v>
      </c>
      <c r="K4" s="8">
        <v>47</v>
      </c>
      <c r="L4" s="8">
        <v>15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>
        <f t="shared" si="0"/>
        <v>62</v>
      </c>
      <c r="AJ4">
        <f t="shared" si="1"/>
        <v>0</v>
      </c>
      <c r="AK4">
        <f t="shared" si="2"/>
        <v>0</v>
      </c>
      <c r="AL4">
        <f t="shared" si="3"/>
        <v>0</v>
      </c>
    </row>
    <row r="5" spans="1:38" x14ac:dyDescent="0.35">
      <c r="A5" s="6" t="s">
        <v>37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>
        <v>7</v>
      </c>
      <c r="AB5" s="8">
        <v>14</v>
      </c>
      <c r="AC5" s="8"/>
      <c r="AD5" s="8"/>
      <c r="AE5" s="8"/>
      <c r="AF5" s="8"/>
      <c r="AG5" s="8"/>
      <c r="AH5" s="9"/>
      <c r="AI5">
        <f t="shared" si="0"/>
        <v>0</v>
      </c>
      <c r="AJ5">
        <f t="shared" si="1"/>
        <v>0</v>
      </c>
      <c r="AK5">
        <f t="shared" si="2"/>
        <v>0</v>
      </c>
      <c r="AL5">
        <f t="shared" si="3"/>
        <v>21</v>
      </c>
    </row>
    <row r="6" spans="1:38" x14ac:dyDescent="0.35">
      <c r="A6" s="6" t="s">
        <v>43</v>
      </c>
      <c r="B6" s="7"/>
      <c r="C6" s="8">
        <v>1209</v>
      </c>
      <c r="D6" s="8">
        <v>219</v>
      </c>
      <c r="E6" s="8"/>
      <c r="F6" s="8"/>
      <c r="G6" s="8">
        <v>2068</v>
      </c>
      <c r="H6" s="8"/>
      <c r="I6" s="8"/>
      <c r="J6" s="8">
        <v>5133</v>
      </c>
      <c r="K6" s="8">
        <v>303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>
        <v>10</v>
      </c>
      <c r="AB6" s="8">
        <v>11</v>
      </c>
      <c r="AC6" s="8"/>
      <c r="AD6" s="8"/>
      <c r="AE6" s="8"/>
      <c r="AF6" s="8"/>
      <c r="AG6" s="8"/>
      <c r="AH6" s="9"/>
      <c r="AI6">
        <f t="shared" si="0"/>
        <v>303</v>
      </c>
      <c r="AJ6">
        <f t="shared" si="1"/>
        <v>0</v>
      </c>
      <c r="AK6">
        <f t="shared" si="2"/>
        <v>0</v>
      </c>
      <c r="AL6">
        <f t="shared" si="3"/>
        <v>21</v>
      </c>
    </row>
    <row r="7" spans="1:38" x14ac:dyDescent="0.35">
      <c r="A7" s="6" t="s">
        <v>57</v>
      </c>
      <c r="B7" s="7">
        <v>529</v>
      </c>
      <c r="C7" s="8">
        <v>280</v>
      </c>
      <c r="D7" s="8">
        <v>57</v>
      </c>
      <c r="E7" s="8"/>
      <c r="F7" s="8"/>
      <c r="G7" s="8"/>
      <c r="H7" s="8"/>
      <c r="I7" s="8"/>
      <c r="J7" s="8"/>
      <c r="K7" s="8"/>
      <c r="L7" s="8"/>
      <c r="M7" s="8">
        <v>74</v>
      </c>
      <c r="N7" s="8">
        <v>58</v>
      </c>
      <c r="O7" s="8">
        <v>51</v>
      </c>
      <c r="P7" s="8">
        <v>51</v>
      </c>
      <c r="Q7" s="8"/>
      <c r="R7" s="8"/>
      <c r="S7" s="8">
        <v>286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>
        <f t="shared" si="0"/>
        <v>0</v>
      </c>
      <c r="AJ7">
        <f t="shared" si="1"/>
        <v>0</v>
      </c>
      <c r="AK7">
        <f t="shared" si="2"/>
        <v>286</v>
      </c>
      <c r="AL7">
        <f t="shared" si="3"/>
        <v>529</v>
      </c>
    </row>
    <row r="8" spans="1:38" x14ac:dyDescent="0.35">
      <c r="A8" s="6" t="s">
        <v>58</v>
      </c>
      <c r="B8" s="7"/>
      <c r="C8" s="8">
        <v>1781</v>
      </c>
      <c r="D8" s="8"/>
      <c r="E8" s="8"/>
      <c r="F8" s="8"/>
      <c r="G8" s="8">
        <v>1019</v>
      </c>
      <c r="H8" s="8"/>
      <c r="I8" s="8"/>
      <c r="J8" s="8">
        <v>2704</v>
      </c>
      <c r="K8" s="8"/>
      <c r="L8" s="8">
        <v>3768</v>
      </c>
      <c r="M8" s="8">
        <v>27</v>
      </c>
      <c r="N8" s="8"/>
      <c r="O8" s="8">
        <v>1152</v>
      </c>
      <c r="P8" s="8">
        <v>1467</v>
      </c>
      <c r="Q8" s="8"/>
      <c r="R8" s="8">
        <v>122</v>
      </c>
      <c r="S8" s="8"/>
      <c r="T8" s="8"/>
      <c r="U8" s="8"/>
      <c r="V8" s="8"/>
      <c r="W8" s="8"/>
      <c r="X8" s="8"/>
      <c r="Y8" s="8"/>
      <c r="Z8" s="8"/>
      <c r="AA8" s="8">
        <v>15</v>
      </c>
      <c r="AB8" s="8">
        <v>35</v>
      </c>
      <c r="AC8" s="8"/>
      <c r="AD8" s="8"/>
      <c r="AE8" s="8"/>
      <c r="AF8" s="8"/>
      <c r="AG8" s="8"/>
      <c r="AH8" s="9"/>
      <c r="AI8">
        <f t="shared" si="0"/>
        <v>3768</v>
      </c>
      <c r="AJ8">
        <f t="shared" si="1"/>
        <v>0</v>
      </c>
      <c r="AK8">
        <f t="shared" si="2"/>
        <v>122</v>
      </c>
      <c r="AL8">
        <f t="shared" si="3"/>
        <v>50</v>
      </c>
    </row>
    <row r="9" spans="1:38" ht="29" x14ac:dyDescent="0.35">
      <c r="A9" s="10" t="s">
        <v>55</v>
      </c>
      <c r="B9" s="11">
        <v>529</v>
      </c>
      <c r="C9" s="12">
        <v>8636</v>
      </c>
      <c r="D9" s="12">
        <v>2221</v>
      </c>
      <c r="E9" s="12"/>
      <c r="F9" s="12"/>
      <c r="G9" s="12">
        <v>3408</v>
      </c>
      <c r="H9" s="12">
        <v>295</v>
      </c>
      <c r="I9" s="12"/>
      <c r="J9" s="12">
        <v>8525</v>
      </c>
      <c r="K9" s="12">
        <v>1556</v>
      </c>
      <c r="L9" s="12">
        <v>13327</v>
      </c>
      <c r="M9" s="12">
        <v>101</v>
      </c>
      <c r="N9" s="12">
        <v>106</v>
      </c>
      <c r="O9" s="12">
        <v>1203</v>
      </c>
      <c r="P9" s="12">
        <v>1518</v>
      </c>
      <c r="Q9" s="12"/>
      <c r="R9" s="12">
        <v>122</v>
      </c>
      <c r="S9" s="12">
        <v>442</v>
      </c>
      <c r="T9" s="12"/>
      <c r="U9" s="12"/>
      <c r="V9" s="12"/>
      <c r="W9" s="12"/>
      <c r="X9" s="12"/>
      <c r="Y9" s="12"/>
      <c r="Z9" s="12">
        <v>1758</v>
      </c>
      <c r="AA9" s="12">
        <v>41</v>
      </c>
      <c r="AB9" s="12">
        <v>60</v>
      </c>
      <c r="AC9" s="12"/>
      <c r="AD9" s="12"/>
      <c r="AE9" s="12"/>
      <c r="AF9" s="12"/>
      <c r="AG9" s="12"/>
      <c r="AH9" s="13"/>
      <c r="AI9">
        <f t="shared" si="0"/>
        <v>14883</v>
      </c>
      <c r="AJ9">
        <f t="shared" si="1"/>
        <v>1758</v>
      </c>
      <c r="AK9">
        <f t="shared" si="2"/>
        <v>564</v>
      </c>
      <c r="AL9">
        <f t="shared" si="3"/>
        <v>630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330C-5FA6-4BA8-8C57-A9C1C3AA72E3}">
  <dimension ref="A1:E13"/>
  <sheetViews>
    <sheetView workbookViewId="0">
      <selection activeCell="B17" sqref="B17"/>
    </sheetView>
  </sheetViews>
  <sheetFormatPr defaultRowHeight="14.5" x14ac:dyDescent="0.35"/>
  <cols>
    <col min="1" max="1" width="12.36328125" bestFit="1" customWidth="1"/>
    <col min="2" max="2" width="31.453125" bestFit="1" customWidth="1"/>
    <col min="3" max="3" width="28.1796875" bestFit="1" customWidth="1"/>
    <col min="4" max="4" width="29.90625" bestFit="1" customWidth="1"/>
    <col min="5" max="5" width="30.54296875" bestFit="1" customWidth="1"/>
  </cols>
  <sheetData>
    <row r="1" spans="1:5" x14ac:dyDescent="0.35">
      <c r="A1" s="21" t="s">
        <v>64</v>
      </c>
      <c r="B1" s="22">
        <v>2019</v>
      </c>
    </row>
    <row r="3" spans="1:5" x14ac:dyDescent="0.35">
      <c r="A3" s="21" t="s">
        <v>0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5">
      <c r="A4" s="22" t="s">
        <v>56</v>
      </c>
      <c r="B4" s="23">
        <v>0</v>
      </c>
      <c r="C4" s="23">
        <v>0</v>
      </c>
      <c r="D4" s="23">
        <v>0</v>
      </c>
      <c r="E4" s="23">
        <v>0</v>
      </c>
    </row>
    <row r="5" spans="1:5" x14ac:dyDescent="0.35">
      <c r="A5" s="22" t="s">
        <v>35</v>
      </c>
      <c r="B5" s="23">
        <v>63</v>
      </c>
      <c r="C5" s="23">
        <v>0</v>
      </c>
      <c r="D5" s="23">
        <v>0</v>
      </c>
      <c r="E5" s="23">
        <v>0</v>
      </c>
    </row>
    <row r="6" spans="1:5" x14ac:dyDescent="0.35">
      <c r="A6" s="22" t="s">
        <v>37</v>
      </c>
      <c r="B6" s="23">
        <v>0</v>
      </c>
      <c r="C6" s="23">
        <v>0</v>
      </c>
      <c r="D6" s="23">
        <v>0</v>
      </c>
      <c r="E6" s="23">
        <v>19</v>
      </c>
    </row>
    <row r="7" spans="1:5" x14ac:dyDescent="0.35">
      <c r="A7" s="22" t="s">
        <v>40</v>
      </c>
      <c r="B7" s="23">
        <v>43</v>
      </c>
      <c r="C7" s="23">
        <v>23</v>
      </c>
      <c r="D7" s="23">
        <v>0</v>
      </c>
      <c r="E7" s="23">
        <v>0</v>
      </c>
    </row>
    <row r="8" spans="1:5" x14ac:dyDescent="0.35">
      <c r="A8" s="22" t="s">
        <v>43</v>
      </c>
      <c r="B8" s="23">
        <v>196</v>
      </c>
      <c r="C8" s="23">
        <v>0</v>
      </c>
      <c r="D8" s="23">
        <v>0</v>
      </c>
      <c r="E8" s="23">
        <v>4</v>
      </c>
    </row>
    <row r="9" spans="1:5" x14ac:dyDescent="0.35">
      <c r="A9" s="22" t="s">
        <v>47</v>
      </c>
      <c r="B9" s="23">
        <v>0</v>
      </c>
      <c r="C9" s="23">
        <v>4340</v>
      </c>
      <c r="D9" s="23">
        <v>0</v>
      </c>
      <c r="E9" s="23">
        <v>0</v>
      </c>
    </row>
    <row r="10" spans="1:5" x14ac:dyDescent="0.35">
      <c r="A10" s="22" t="s">
        <v>57</v>
      </c>
      <c r="B10" s="23">
        <v>0</v>
      </c>
      <c r="C10" s="23">
        <v>0</v>
      </c>
      <c r="D10" s="23">
        <v>0</v>
      </c>
      <c r="E10" s="23">
        <v>0</v>
      </c>
    </row>
    <row r="11" spans="1:5" x14ac:dyDescent="0.35">
      <c r="A11" s="22" t="s">
        <v>49</v>
      </c>
      <c r="B11" s="23">
        <v>0</v>
      </c>
      <c r="C11" s="23">
        <v>242</v>
      </c>
      <c r="D11" s="23">
        <v>0</v>
      </c>
      <c r="E11" s="23">
        <v>243</v>
      </c>
    </row>
    <row r="12" spans="1:5" x14ac:dyDescent="0.35">
      <c r="A12" s="22" t="s">
        <v>58</v>
      </c>
      <c r="B12" s="23">
        <v>0</v>
      </c>
      <c r="C12" s="23">
        <v>1880</v>
      </c>
      <c r="D12" s="23">
        <v>75</v>
      </c>
      <c r="E12" s="23">
        <v>74</v>
      </c>
    </row>
    <row r="13" spans="1:5" x14ac:dyDescent="0.35">
      <c r="A13" s="22" t="s">
        <v>55</v>
      </c>
      <c r="B13" s="23">
        <v>302</v>
      </c>
      <c r="C13" s="23">
        <v>6485</v>
      </c>
      <c r="D13" s="23">
        <v>75</v>
      </c>
      <c r="E13" s="23"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69CF-BFCA-425A-A874-F09939CF7E5D}">
  <dimension ref="A1:Z88"/>
  <sheetViews>
    <sheetView tabSelected="1" topLeftCell="A39" workbookViewId="0">
      <selection activeCell="H44" sqref="H44"/>
    </sheetView>
  </sheetViews>
  <sheetFormatPr defaultRowHeight="14.5" x14ac:dyDescent="0.35"/>
  <cols>
    <col min="5" max="5" width="9.81640625" customWidth="1"/>
    <col min="6" max="6" width="10.54296875" customWidth="1"/>
    <col min="7" max="7" width="14.6328125" customWidth="1"/>
    <col min="8" max="8" width="19.26953125" customWidth="1"/>
    <col min="9" max="9" width="15.54296875" customWidth="1"/>
    <col min="10" max="10" width="15.453125" customWidth="1"/>
    <col min="18" max="18" width="10.90625" customWidth="1"/>
    <col min="20" max="20" width="9.81640625" customWidth="1"/>
    <col min="21" max="21" width="10.6328125" customWidth="1"/>
  </cols>
  <sheetData>
    <row r="1" spans="1:26" x14ac:dyDescent="0.35">
      <c r="F1">
        <v>2018</v>
      </c>
      <c r="K1">
        <v>2019</v>
      </c>
      <c r="P1">
        <v>2020</v>
      </c>
      <c r="U1">
        <v>2021</v>
      </c>
    </row>
    <row r="2" spans="1:26" s="1" customFormat="1" ht="58" x14ac:dyDescent="0.35">
      <c r="A2" s="1" t="s">
        <v>64</v>
      </c>
      <c r="B2" s="1" t="s">
        <v>63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0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59</v>
      </c>
      <c r="X2" s="1" t="s">
        <v>60</v>
      </c>
      <c r="Y2" s="1" t="s">
        <v>61</v>
      </c>
      <c r="Z2" s="1" t="s">
        <v>62</v>
      </c>
    </row>
    <row r="3" spans="1:26" x14ac:dyDescent="0.35">
      <c r="B3" t="s">
        <v>34</v>
      </c>
      <c r="C3">
        <v>0</v>
      </c>
      <c r="D3">
        <v>0</v>
      </c>
      <c r="E3">
        <v>0</v>
      </c>
      <c r="F3">
        <v>0</v>
      </c>
      <c r="G3" t="s">
        <v>56</v>
      </c>
      <c r="H3">
        <v>0</v>
      </c>
      <c r="I3">
        <v>0</v>
      </c>
      <c r="J3">
        <v>0</v>
      </c>
      <c r="K3">
        <v>0</v>
      </c>
      <c r="L3" t="s">
        <v>56</v>
      </c>
      <c r="M3">
        <v>0</v>
      </c>
      <c r="N3">
        <v>0</v>
      </c>
      <c r="O3">
        <v>86</v>
      </c>
      <c r="P3">
        <v>0</v>
      </c>
      <c r="Q3" t="s">
        <v>34</v>
      </c>
      <c r="R3">
        <v>3491</v>
      </c>
      <c r="S3">
        <v>0</v>
      </c>
      <c r="T3">
        <v>0</v>
      </c>
      <c r="U3">
        <v>0</v>
      </c>
      <c r="V3" t="s">
        <v>35</v>
      </c>
      <c r="W3">
        <v>78</v>
      </c>
      <c r="X3">
        <v>0</v>
      </c>
      <c r="Y3">
        <v>0</v>
      </c>
      <c r="Z3">
        <v>0</v>
      </c>
    </row>
    <row r="4" spans="1:26" x14ac:dyDescent="0.35">
      <c r="B4" t="s">
        <v>35</v>
      </c>
      <c r="C4">
        <v>62</v>
      </c>
      <c r="D4">
        <v>0</v>
      </c>
      <c r="E4">
        <v>0</v>
      </c>
      <c r="F4">
        <v>0</v>
      </c>
      <c r="G4" t="s">
        <v>35</v>
      </c>
      <c r="H4">
        <v>63</v>
      </c>
      <c r="I4">
        <v>0</v>
      </c>
      <c r="J4">
        <v>0</v>
      </c>
      <c r="K4">
        <v>0</v>
      </c>
      <c r="L4" t="s">
        <v>35</v>
      </c>
      <c r="M4">
        <v>54</v>
      </c>
      <c r="N4">
        <v>0</v>
      </c>
      <c r="O4">
        <v>0</v>
      </c>
      <c r="P4">
        <v>0</v>
      </c>
      <c r="Q4" t="s">
        <v>56</v>
      </c>
      <c r="R4">
        <v>7259</v>
      </c>
      <c r="S4">
        <v>1758</v>
      </c>
      <c r="T4">
        <v>156</v>
      </c>
      <c r="U4">
        <v>9</v>
      </c>
      <c r="V4" t="s">
        <v>37</v>
      </c>
      <c r="W4">
        <v>6108</v>
      </c>
      <c r="X4">
        <v>0</v>
      </c>
      <c r="Y4">
        <v>0</v>
      </c>
      <c r="Z4">
        <v>0</v>
      </c>
    </row>
    <row r="5" spans="1:26" x14ac:dyDescent="0.35">
      <c r="B5" t="s">
        <v>36</v>
      </c>
      <c r="C5">
        <v>0</v>
      </c>
      <c r="D5">
        <v>0</v>
      </c>
      <c r="E5">
        <v>0</v>
      </c>
      <c r="F5">
        <v>0</v>
      </c>
      <c r="G5" t="s">
        <v>37</v>
      </c>
      <c r="H5">
        <v>0</v>
      </c>
      <c r="I5">
        <v>0</v>
      </c>
      <c r="J5">
        <v>0</v>
      </c>
      <c r="K5">
        <v>19</v>
      </c>
      <c r="L5" t="s">
        <v>37</v>
      </c>
      <c r="M5">
        <v>50</v>
      </c>
      <c r="N5">
        <v>78</v>
      </c>
      <c r="O5">
        <v>0</v>
      </c>
      <c r="P5">
        <v>204</v>
      </c>
      <c r="Q5" t="s">
        <v>35</v>
      </c>
      <c r="R5">
        <v>62</v>
      </c>
      <c r="S5">
        <v>0</v>
      </c>
      <c r="T5">
        <v>0</v>
      </c>
      <c r="U5">
        <v>0</v>
      </c>
      <c r="V5" t="s">
        <v>50</v>
      </c>
      <c r="W5">
        <v>0</v>
      </c>
      <c r="X5">
        <v>0</v>
      </c>
      <c r="Y5">
        <v>0</v>
      </c>
      <c r="Z5">
        <v>0</v>
      </c>
    </row>
    <row r="6" spans="1:26" x14ac:dyDescent="0.35">
      <c r="B6" t="s">
        <v>37</v>
      </c>
      <c r="C6">
        <v>0</v>
      </c>
      <c r="D6">
        <v>0</v>
      </c>
      <c r="E6">
        <v>0</v>
      </c>
      <c r="F6">
        <v>15</v>
      </c>
      <c r="G6" t="s">
        <v>40</v>
      </c>
      <c r="H6">
        <v>43</v>
      </c>
      <c r="I6">
        <v>23</v>
      </c>
      <c r="J6">
        <v>0</v>
      </c>
      <c r="K6">
        <v>0</v>
      </c>
      <c r="L6" t="s">
        <v>45</v>
      </c>
      <c r="M6">
        <v>0</v>
      </c>
      <c r="N6">
        <v>115</v>
      </c>
      <c r="O6">
        <v>237</v>
      </c>
      <c r="P6">
        <v>13</v>
      </c>
      <c r="Q6" t="s">
        <v>37</v>
      </c>
      <c r="R6">
        <v>0</v>
      </c>
      <c r="S6">
        <v>0</v>
      </c>
      <c r="T6">
        <v>0</v>
      </c>
      <c r="U6">
        <v>21</v>
      </c>
      <c r="V6" t="s">
        <v>58</v>
      </c>
      <c r="W6">
        <v>5971</v>
      </c>
      <c r="X6">
        <v>0</v>
      </c>
      <c r="Y6">
        <v>78</v>
      </c>
      <c r="Z6">
        <v>5</v>
      </c>
    </row>
    <row r="7" spans="1:26" x14ac:dyDescent="0.35">
      <c r="B7" t="s">
        <v>38</v>
      </c>
      <c r="C7">
        <v>0</v>
      </c>
      <c r="D7">
        <v>0</v>
      </c>
      <c r="E7">
        <v>0</v>
      </c>
      <c r="F7">
        <v>0</v>
      </c>
      <c r="G7" t="s">
        <v>43</v>
      </c>
      <c r="H7">
        <v>196</v>
      </c>
      <c r="I7">
        <v>0</v>
      </c>
      <c r="J7">
        <v>0</v>
      </c>
      <c r="K7">
        <v>4</v>
      </c>
      <c r="L7" t="s">
        <v>57</v>
      </c>
      <c r="M7">
        <v>0</v>
      </c>
      <c r="N7">
        <v>0</v>
      </c>
      <c r="O7">
        <v>0</v>
      </c>
      <c r="P7">
        <v>0</v>
      </c>
      <c r="Q7" t="s">
        <v>43</v>
      </c>
      <c r="R7">
        <v>303</v>
      </c>
      <c r="S7">
        <v>0</v>
      </c>
      <c r="T7">
        <v>0</v>
      </c>
      <c r="U7">
        <v>21</v>
      </c>
      <c r="V7" t="s">
        <v>54</v>
      </c>
      <c r="W7">
        <v>1060</v>
      </c>
      <c r="X7">
        <v>0</v>
      </c>
      <c r="Y7">
        <v>0</v>
      </c>
      <c r="Z7">
        <v>0</v>
      </c>
    </row>
    <row r="8" spans="1:26" x14ac:dyDescent="0.35">
      <c r="B8" t="s">
        <v>39</v>
      </c>
      <c r="C8">
        <v>0</v>
      </c>
      <c r="D8">
        <v>0</v>
      </c>
      <c r="E8">
        <v>0</v>
      </c>
      <c r="F8">
        <v>0</v>
      </c>
      <c r="G8" t="s">
        <v>47</v>
      </c>
      <c r="H8">
        <v>0</v>
      </c>
      <c r="I8">
        <v>4340</v>
      </c>
      <c r="J8">
        <v>0</v>
      </c>
      <c r="K8">
        <v>0</v>
      </c>
      <c r="L8" t="s">
        <v>58</v>
      </c>
      <c r="M8">
        <v>0</v>
      </c>
      <c r="N8">
        <v>198</v>
      </c>
      <c r="O8">
        <v>132</v>
      </c>
      <c r="P8">
        <v>30</v>
      </c>
      <c r="Q8" t="s">
        <v>57</v>
      </c>
      <c r="R8">
        <v>0</v>
      </c>
      <c r="S8">
        <v>0</v>
      </c>
      <c r="T8">
        <v>286</v>
      </c>
      <c r="U8">
        <v>529</v>
      </c>
    </row>
    <row r="9" spans="1:26" x14ac:dyDescent="0.35">
      <c r="B9" t="s">
        <v>40</v>
      </c>
      <c r="C9">
        <v>0</v>
      </c>
      <c r="D9">
        <v>0</v>
      </c>
      <c r="E9">
        <v>0</v>
      </c>
      <c r="F9">
        <v>0</v>
      </c>
      <c r="G9" t="s">
        <v>57</v>
      </c>
      <c r="H9">
        <v>0</v>
      </c>
      <c r="I9">
        <v>0</v>
      </c>
      <c r="J9">
        <v>0</v>
      </c>
      <c r="K9">
        <v>0</v>
      </c>
      <c r="P9">
        <v>247</v>
      </c>
      <c r="Q9" t="s">
        <v>58</v>
      </c>
      <c r="R9">
        <v>3768</v>
      </c>
      <c r="S9">
        <v>0</v>
      </c>
      <c r="T9">
        <v>122</v>
      </c>
      <c r="U9">
        <v>50</v>
      </c>
    </row>
    <row r="10" spans="1:26" x14ac:dyDescent="0.35">
      <c r="B10" t="s">
        <v>41</v>
      </c>
      <c r="C10">
        <v>0</v>
      </c>
      <c r="D10">
        <v>0</v>
      </c>
      <c r="E10">
        <v>0</v>
      </c>
      <c r="F10">
        <v>0</v>
      </c>
      <c r="G10" t="s">
        <v>49</v>
      </c>
      <c r="H10">
        <v>0</v>
      </c>
      <c r="I10">
        <v>242</v>
      </c>
      <c r="J10">
        <v>0</v>
      </c>
      <c r="K10">
        <v>243</v>
      </c>
    </row>
    <row r="11" spans="1:26" x14ac:dyDescent="0.35">
      <c r="B11" t="s">
        <v>42</v>
      </c>
      <c r="C11">
        <v>0</v>
      </c>
      <c r="D11">
        <v>0</v>
      </c>
      <c r="E11">
        <v>0</v>
      </c>
      <c r="F11">
        <v>0</v>
      </c>
      <c r="G11" t="s">
        <v>58</v>
      </c>
      <c r="H11">
        <v>0</v>
      </c>
      <c r="I11">
        <v>1880</v>
      </c>
      <c r="J11">
        <v>75</v>
      </c>
      <c r="K11">
        <v>74</v>
      </c>
    </row>
    <row r="12" spans="1:26" x14ac:dyDescent="0.35">
      <c r="B12" t="s">
        <v>43</v>
      </c>
      <c r="C12">
        <v>2473</v>
      </c>
      <c r="D12">
        <v>0</v>
      </c>
      <c r="E12">
        <v>0</v>
      </c>
      <c r="F12">
        <v>0</v>
      </c>
    </row>
    <row r="13" spans="1:26" x14ac:dyDescent="0.35">
      <c r="B13" t="s">
        <v>44</v>
      </c>
      <c r="C13">
        <v>0</v>
      </c>
      <c r="D13">
        <v>0</v>
      </c>
      <c r="E13">
        <v>24</v>
      </c>
      <c r="F13">
        <v>0</v>
      </c>
    </row>
    <row r="14" spans="1:26" x14ac:dyDescent="0.35">
      <c r="B14" t="s">
        <v>45</v>
      </c>
      <c r="C14">
        <v>0</v>
      </c>
      <c r="D14">
        <v>0</v>
      </c>
      <c r="E14">
        <v>0</v>
      </c>
      <c r="F14">
        <v>0</v>
      </c>
    </row>
    <row r="15" spans="1:26" x14ac:dyDescent="0.35">
      <c r="B15" t="s">
        <v>46</v>
      </c>
      <c r="C15">
        <v>0</v>
      </c>
      <c r="D15">
        <v>0</v>
      </c>
      <c r="E15">
        <v>0</v>
      </c>
      <c r="F15">
        <v>0</v>
      </c>
    </row>
    <row r="16" spans="1:26" x14ac:dyDescent="0.35">
      <c r="B16" t="s">
        <v>47</v>
      </c>
      <c r="C16">
        <v>0</v>
      </c>
      <c r="D16">
        <v>0</v>
      </c>
      <c r="E16">
        <v>0</v>
      </c>
      <c r="F16">
        <v>2836</v>
      </c>
    </row>
    <row r="17" spans="2:6" x14ac:dyDescent="0.35">
      <c r="B17" t="s">
        <v>48</v>
      </c>
      <c r="C17">
        <v>0</v>
      </c>
      <c r="D17">
        <v>0</v>
      </c>
      <c r="E17">
        <v>0</v>
      </c>
      <c r="F17">
        <v>0</v>
      </c>
    </row>
    <row r="18" spans="2:6" x14ac:dyDescent="0.35">
      <c r="B18" t="s">
        <v>49</v>
      </c>
      <c r="C18">
        <v>0</v>
      </c>
      <c r="D18">
        <v>0</v>
      </c>
      <c r="E18">
        <v>0</v>
      </c>
      <c r="F18">
        <v>0</v>
      </c>
    </row>
    <row r="19" spans="2:6" x14ac:dyDescent="0.35">
      <c r="B19" t="s">
        <v>50</v>
      </c>
      <c r="C19">
        <v>0</v>
      </c>
      <c r="D19">
        <v>0</v>
      </c>
      <c r="E19">
        <v>0</v>
      </c>
      <c r="F19">
        <v>0</v>
      </c>
    </row>
    <row r="20" spans="2:6" x14ac:dyDescent="0.35">
      <c r="B20" t="s">
        <v>51</v>
      </c>
      <c r="C20">
        <v>0</v>
      </c>
      <c r="D20">
        <v>0</v>
      </c>
      <c r="E20">
        <v>0</v>
      </c>
      <c r="F20">
        <v>0</v>
      </c>
    </row>
    <row r="21" spans="2:6" x14ac:dyDescent="0.35">
      <c r="B21" t="s">
        <v>52</v>
      </c>
      <c r="C21">
        <v>0</v>
      </c>
      <c r="D21">
        <v>0</v>
      </c>
      <c r="E21">
        <v>0</v>
      </c>
      <c r="F21">
        <v>0</v>
      </c>
    </row>
    <row r="22" spans="2:6" x14ac:dyDescent="0.35">
      <c r="B22" t="s">
        <v>53</v>
      </c>
      <c r="C22">
        <v>0</v>
      </c>
      <c r="D22">
        <v>0</v>
      </c>
      <c r="E22">
        <v>0</v>
      </c>
      <c r="F22">
        <v>0</v>
      </c>
    </row>
    <row r="23" spans="2:6" x14ac:dyDescent="0.35">
      <c r="B23" t="s">
        <v>54</v>
      </c>
      <c r="C23">
        <v>0</v>
      </c>
      <c r="D23">
        <v>259</v>
      </c>
      <c r="E23">
        <v>0</v>
      </c>
      <c r="F23">
        <v>207</v>
      </c>
    </row>
    <row r="40" spans="1:10" ht="56" customHeight="1" x14ac:dyDescent="0.35">
      <c r="A40" s="1" t="s">
        <v>64</v>
      </c>
      <c r="B40" s="1" t="s">
        <v>63</v>
      </c>
      <c r="C40" s="1" t="s">
        <v>59</v>
      </c>
      <c r="D40" s="1" t="s">
        <v>60</v>
      </c>
      <c r="E40" s="1" t="s">
        <v>61</v>
      </c>
      <c r="F40" s="1" t="s">
        <v>62</v>
      </c>
      <c r="G40" s="1" t="s">
        <v>69</v>
      </c>
      <c r="H40" s="1" t="s">
        <v>70</v>
      </c>
      <c r="I40" s="1" t="s">
        <v>71</v>
      </c>
      <c r="J40" s="1" t="s">
        <v>72</v>
      </c>
    </row>
    <row r="41" spans="1:10" x14ac:dyDescent="0.35">
      <c r="A41">
        <v>2018</v>
      </c>
      <c r="B41" t="s">
        <v>34</v>
      </c>
      <c r="C41">
        <v>0</v>
      </c>
      <c r="D41">
        <v>0</v>
      </c>
      <c r="E41">
        <v>0</v>
      </c>
      <c r="F41">
        <v>0</v>
      </c>
    </row>
    <row r="42" spans="1:10" x14ac:dyDescent="0.35">
      <c r="A42">
        <v>2018</v>
      </c>
      <c r="B42" t="s">
        <v>35</v>
      </c>
      <c r="C42">
        <v>62</v>
      </c>
      <c r="D42">
        <v>0</v>
      </c>
      <c r="E42">
        <v>0</v>
      </c>
      <c r="F42">
        <v>0</v>
      </c>
    </row>
    <row r="43" spans="1:10" x14ac:dyDescent="0.35">
      <c r="A43">
        <v>2018</v>
      </c>
      <c r="B43" t="s">
        <v>36</v>
      </c>
      <c r="C43">
        <v>0</v>
      </c>
      <c r="D43">
        <v>0</v>
      </c>
      <c r="E43">
        <v>0</v>
      </c>
      <c r="F43">
        <v>0</v>
      </c>
    </row>
    <row r="44" spans="1:10" x14ac:dyDescent="0.35">
      <c r="A44">
        <v>2018</v>
      </c>
      <c r="B44" t="s">
        <v>37</v>
      </c>
      <c r="C44">
        <v>0</v>
      </c>
      <c r="D44">
        <v>0</v>
      </c>
      <c r="E44">
        <v>0</v>
      </c>
      <c r="F44">
        <v>15</v>
      </c>
    </row>
    <row r="45" spans="1:10" x14ac:dyDescent="0.35">
      <c r="A45">
        <v>2018</v>
      </c>
      <c r="B45" t="s">
        <v>38</v>
      </c>
      <c r="C45">
        <v>0</v>
      </c>
      <c r="D45">
        <v>0</v>
      </c>
      <c r="E45">
        <v>0</v>
      </c>
      <c r="F45">
        <v>0</v>
      </c>
    </row>
    <row r="46" spans="1:10" x14ac:dyDescent="0.35">
      <c r="A46">
        <v>2018</v>
      </c>
      <c r="B46" t="s">
        <v>39</v>
      </c>
      <c r="C46">
        <v>0</v>
      </c>
      <c r="D46">
        <v>0</v>
      </c>
      <c r="E46">
        <v>0</v>
      </c>
      <c r="F46">
        <v>0</v>
      </c>
    </row>
    <row r="47" spans="1:10" x14ac:dyDescent="0.35">
      <c r="A47">
        <v>2018</v>
      </c>
      <c r="B47" t="s">
        <v>40</v>
      </c>
      <c r="C47">
        <v>0</v>
      </c>
      <c r="D47">
        <v>0</v>
      </c>
      <c r="E47">
        <v>0</v>
      </c>
      <c r="F47">
        <v>0</v>
      </c>
    </row>
    <row r="48" spans="1:10" x14ac:dyDescent="0.35">
      <c r="A48">
        <v>2018</v>
      </c>
      <c r="B48" t="s">
        <v>41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2018</v>
      </c>
      <c r="B49" t="s">
        <v>42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2018</v>
      </c>
      <c r="B50" t="s">
        <v>43</v>
      </c>
      <c r="C50">
        <v>2473</v>
      </c>
      <c r="D50">
        <v>0</v>
      </c>
      <c r="E50">
        <v>0</v>
      </c>
      <c r="F50">
        <v>0</v>
      </c>
    </row>
    <row r="51" spans="1:6" x14ac:dyDescent="0.35">
      <c r="A51">
        <v>2018</v>
      </c>
      <c r="B51" t="s">
        <v>44</v>
      </c>
      <c r="C51">
        <v>0</v>
      </c>
      <c r="D51">
        <v>0</v>
      </c>
      <c r="E51">
        <v>24</v>
      </c>
      <c r="F51">
        <v>0</v>
      </c>
    </row>
    <row r="52" spans="1:6" x14ac:dyDescent="0.35">
      <c r="A52">
        <v>2018</v>
      </c>
      <c r="B52" t="s">
        <v>45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2018</v>
      </c>
      <c r="B53" t="s">
        <v>46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2018</v>
      </c>
      <c r="B54" t="s">
        <v>47</v>
      </c>
      <c r="C54">
        <v>0</v>
      </c>
      <c r="D54">
        <v>0</v>
      </c>
      <c r="E54">
        <v>0</v>
      </c>
      <c r="F54">
        <v>2836</v>
      </c>
    </row>
    <row r="55" spans="1:6" x14ac:dyDescent="0.35">
      <c r="A55">
        <v>2018</v>
      </c>
      <c r="B55" t="s">
        <v>48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2018</v>
      </c>
      <c r="B56" t="s">
        <v>49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2018</v>
      </c>
      <c r="B57" t="s">
        <v>50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2018</v>
      </c>
      <c r="B58" t="s">
        <v>51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2018</v>
      </c>
      <c r="B59" t="s">
        <v>52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2018</v>
      </c>
      <c r="B60" t="s">
        <v>53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2018</v>
      </c>
      <c r="B61" t="s">
        <v>54</v>
      </c>
      <c r="C61">
        <v>0</v>
      </c>
      <c r="D61">
        <v>259</v>
      </c>
      <c r="E61">
        <v>0</v>
      </c>
      <c r="F61">
        <v>207</v>
      </c>
    </row>
    <row r="62" spans="1:6" x14ac:dyDescent="0.35">
      <c r="A62">
        <v>2019</v>
      </c>
      <c r="B62" t="s">
        <v>56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2019</v>
      </c>
      <c r="B63" t="s">
        <v>35</v>
      </c>
      <c r="C63">
        <v>63</v>
      </c>
      <c r="D63">
        <v>0</v>
      </c>
      <c r="E63">
        <v>0</v>
      </c>
      <c r="F63">
        <v>0</v>
      </c>
    </row>
    <row r="64" spans="1:6" x14ac:dyDescent="0.35">
      <c r="A64">
        <v>2019</v>
      </c>
      <c r="B64" t="s">
        <v>37</v>
      </c>
      <c r="C64">
        <v>0</v>
      </c>
      <c r="D64">
        <v>0</v>
      </c>
      <c r="E64">
        <v>0</v>
      </c>
      <c r="F64">
        <v>19</v>
      </c>
    </row>
    <row r="65" spans="1:6" x14ac:dyDescent="0.35">
      <c r="A65">
        <v>2019</v>
      </c>
      <c r="B65" t="s">
        <v>40</v>
      </c>
      <c r="C65">
        <v>43</v>
      </c>
      <c r="D65">
        <v>23</v>
      </c>
      <c r="E65">
        <v>0</v>
      </c>
      <c r="F65">
        <v>0</v>
      </c>
    </row>
    <row r="66" spans="1:6" x14ac:dyDescent="0.35">
      <c r="A66">
        <v>2019</v>
      </c>
      <c r="B66" t="s">
        <v>43</v>
      </c>
      <c r="C66">
        <v>196</v>
      </c>
      <c r="D66">
        <v>0</v>
      </c>
      <c r="E66">
        <v>0</v>
      </c>
      <c r="F66">
        <v>4</v>
      </c>
    </row>
    <row r="67" spans="1:6" x14ac:dyDescent="0.35">
      <c r="A67">
        <v>2019</v>
      </c>
      <c r="B67" t="s">
        <v>47</v>
      </c>
      <c r="C67">
        <v>0</v>
      </c>
      <c r="D67">
        <v>4340</v>
      </c>
      <c r="E67">
        <v>0</v>
      </c>
      <c r="F67">
        <v>0</v>
      </c>
    </row>
    <row r="68" spans="1:6" x14ac:dyDescent="0.35">
      <c r="A68">
        <v>2019</v>
      </c>
      <c r="B68" t="s">
        <v>57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2019</v>
      </c>
      <c r="B69" t="s">
        <v>49</v>
      </c>
      <c r="C69">
        <v>0</v>
      </c>
      <c r="D69">
        <v>242</v>
      </c>
      <c r="E69">
        <v>0</v>
      </c>
      <c r="F69">
        <v>243</v>
      </c>
    </row>
    <row r="70" spans="1:6" x14ac:dyDescent="0.35">
      <c r="A70">
        <v>2019</v>
      </c>
      <c r="B70" t="s">
        <v>58</v>
      </c>
      <c r="C70">
        <v>0</v>
      </c>
      <c r="D70">
        <v>1880</v>
      </c>
      <c r="E70">
        <v>75</v>
      </c>
      <c r="F70">
        <v>74</v>
      </c>
    </row>
    <row r="71" spans="1:6" x14ac:dyDescent="0.35">
      <c r="A71">
        <v>2020</v>
      </c>
      <c r="B71" t="s">
        <v>56</v>
      </c>
      <c r="C71">
        <v>0</v>
      </c>
      <c r="D71">
        <v>0</v>
      </c>
      <c r="E71">
        <v>86</v>
      </c>
      <c r="F71">
        <v>0</v>
      </c>
    </row>
    <row r="72" spans="1:6" x14ac:dyDescent="0.35">
      <c r="A72">
        <v>2020</v>
      </c>
      <c r="B72" t="s">
        <v>35</v>
      </c>
      <c r="C72">
        <v>54</v>
      </c>
      <c r="D72">
        <v>0</v>
      </c>
      <c r="E72">
        <v>0</v>
      </c>
      <c r="F72">
        <v>0</v>
      </c>
    </row>
    <row r="73" spans="1:6" x14ac:dyDescent="0.35">
      <c r="A73">
        <v>2020</v>
      </c>
      <c r="B73" t="s">
        <v>37</v>
      </c>
      <c r="C73">
        <v>50</v>
      </c>
      <c r="D73">
        <v>78</v>
      </c>
      <c r="E73">
        <v>0</v>
      </c>
      <c r="F73">
        <v>204</v>
      </c>
    </row>
    <row r="74" spans="1:6" x14ac:dyDescent="0.35">
      <c r="A74">
        <v>2020</v>
      </c>
      <c r="B74" t="s">
        <v>45</v>
      </c>
      <c r="C74">
        <v>0</v>
      </c>
      <c r="D74">
        <v>115</v>
      </c>
      <c r="E74">
        <v>237</v>
      </c>
      <c r="F74">
        <v>13</v>
      </c>
    </row>
    <row r="75" spans="1:6" x14ac:dyDescent="0.35">
      <c r="A75">
        <v>2020</v>
      </c>
      <c r="B75" t="s">
        <v>57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2020</v>
      </c>
      <c r="B76" t="s">
        <v>58</v>
      </c>
      <c r="C76">
        <v>0</v>
      </c>
      <c r="D76">
        <v>198</v>
      </c>
      <c r="E76">
        <v>132</v>
      </c>
      <c r="F76">
        <v>30</v>
      </c>
    </row>
    <row r="77" spans="1:6" x14ac:dyDescent="0.35">
      <c r="A77">
        <v>2021</v>
      </c>
      <c r="B77" t="s">
        <v>34</v>
      </c>
      <c r="C77">
        <v>3491</v>
      </c>
      <c r="D77">
        <v>0</v>
      </c>
      <c r="E77">
        <v>0</v>
      </c>
      <c r="F77">
        <v>0</v>
      </c>
    </row>
    <row r="78" spans="1:6" x14ac:dyDescent="0.35">
      <c r="A78">
        <v>2021</v>
      </c>
      <c r="B78" t="s">
        <v>56</v>
      </c>
      <c r="C78">
        <v>7259</v>
      </c>
      <c r="D78">
        <v>1758</v>
      </c>
      <c r="E78">
        <v>156</v>
      </c>
      <c r="F78">
        <v>9</v>
      </c>
    </row>
    <row r="79" spans="1:6" x14ac:dyDescent="0.35">
      <c r="A79">
        <v>2021</v>
      </c>
      <c r="B79" t="s">
        <v>35</v>
      </c>
      <c r="C79">
        <v>62</v>
      </c>
      <c r="D79">
        <v>0</v>
      </c>
      <c r="E79">
        <v>0</v>
      </c>
      <c r="F79">
        <v>0</v>
      </c>
    </row>
    <row r="80" spans="1:6" x14ac:dyDescent="0.35">
      <c r="A80">
        <v>2021</v>
      </c>
      <c r="B80" t="s">
        <v>37</v>
      </c>
      <c r="C80">
        <v>0</v>
      </c>
      <c r="D80">
        <v>0</v>
      </c>
      <c r="E80">
        <v>0</v>
      </c>
      <c r="F80">
        <v>21</v>
      </c>
    </row>
    <row r="81" spans="1:6" x14ac:dyDescent="0.35">
      <c r="A81">
        <v>2021</v>
      </c>
      <c r="B81" t="s">
        <v>43</v>
      </c>
      <c r="C81">
        <v>303</v>
      </c>
      <c r="D81">
        <v>0</v>
      </c>
      <c r="E81">
        <v>0</v>
      </c>
      <c r="F81">
        <v>21</v>
      </c>
    </row>
    <row r="82" spans="1:6" x14ac:dyDescent="0.35">
      <c r="A82">
        <v>2021</v>
      </c>
      <c r="B82" t="s">
        <v>57</v>
      </c>
      <c r="C82">
        <v>0</v>
      </c>
      <c r="D82">
        <v>0</v>
      </c>
      <c r="E82">
        <v>286</v>
      </c>
      <c r="F82">
        <v>529</v>
      </c>
    </row>
    <row r="83" spans="1:6" x14ac:dyDescent="0.35">
      <c r="A83">
        <v>2021</v>
      </c>
      <c r="B83" t="s">
        <v>58</v>
      </c>
      <c r="C83">
        <v>3768</v>
      </c>
      <c r="D83">
        <v>0</v>
      </c>
      <c r="E83">
        <v>122</v>
      </c>
      <c r="F83">
        <v>50</v>
      </c>
    </row>
    <row r="84" spans="1:6" x14ac:dyDescent="0.35">
      <c r="A84">
        <v>2022</v>
      </c>
      <c r="B84" t="s">
        <v>35</v>
      </c>
      <c r="C84">
        <v>78</v>
      </c>
      <c r="D84">
        <v>0</v>
      </c>
      <c r="E84">
        <v>0</v>
      </c>
      <c r="F84">
        <v>0</v>
      </c>
    </row>
    <row r="85" spans="1:6" x14ac:dyDescent="0.35">
      <c r="A85">
        <v>2022</v>
      </c>
      <c r="B85" t="s">
        <v>37</v>
      </c>
      <c r="C85">
        <v>6108</v>
      </c>
      <c r="D85">
        <v>0</v>
      </c>
      <c r="E85">
        <v>0</v>
      </c>
      <c r="F85">
        <v>0</v>
      </c>
    </row>
    <row r="86" spans="1:6" x14ac:dyDescent="0.35">
      <c r="A86">
        <v>2022</v>
      </c>
      <c r="B86" t="s">
        <v>50</v>
      </c>
      <c r="C86">
        <v>0</v>
      </c>
      <c r="D86">
        <v>0</v>
      </c>
      <c r="E86">
        <v>0</v>
      </c>
      <c r="F86">
        <v>0</v>
      </c>
    </row>
    <row r="87" spans="1:6" x14ac:dyDescent="0.35">
      <c r="A87">
        <v>2022</v>
      </c>
      <c r="B87" t="s">
        <v>58</v>
      </c>
      <c r="C87">
        <v>5971</v>
      </c>
      <c r="D87">
        <v>0</v>
      </c>
      <c r="E87">
        <v>78</v>
      </c>
      <c r="F87">
        <v>5</v>
      </c>
    </row>
    <row r="88" spans="1:6" x14ac:dyDescent="0.35">
      <c r="A88">
        <v>2022</v>
      </c>
      <c r="B88" t="s">
        <v>54</v>
      </c>
      <c r="C88">
        <v>1060</v>
      </c>
      <c r="D88">
        <v>0</v>
      </c>
      <c r="E88">
        <v>0</v>
      </c>
      <c r="F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2022</vt:lpstr>
      <vt:lpstr>2021</vt:lpstr>
      <vt:lpstr>Sheet1</vt:lpstr>
      <vt:lpstr>Medical 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2024-02-07T08:11:02Z</dcterms:created>
  <dcterms:modified xsi:type="dcterms:W3CDTF">2024-02-08T06:14:37Z</dcterms:modified>
</cp:coreProperties>
</file>